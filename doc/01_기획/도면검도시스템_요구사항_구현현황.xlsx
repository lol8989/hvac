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구사항 정의서" sheetId="1" state="visible" r:id="rId3"/>
    <sheet name="요약 통계" sheetId="2" state="visible" r:id="rId4"/>
    <sheet name="미구현 항목(Gap)" sheetId="3" state="visible" r:id="rId5"/>
  </sheets>
  <definedNames>
    <definedName function="false" hidden="true" localSheetId="2" name="_xlnm._FilterDatabase" vbProcedure="false">'미구현 항목(Gap)'!$A$3:$F$65</definedName>
    <definedName function="false" hidden="true" localSheetId="0" name="_xlnm._FilterDatabase" vbProcedure="false">'요구사항 정의서'!$A$5:$I$118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<sst xmlns="http://schemas.openxmlformats.org/spreadsheetml/2006/main" count="1267" uniqueCount="441">
  <si>
    <r>
      <rPr>
        <b val="true"/>
        <sz val="16"/>
        <color rgb="FFFFFFFF"/>
        <rFont val="DejaVu Sans"/>
        <family val="2"/>
      </rPr>
      <t xml:space="preserve">도면검도시스템 </t>
    </r>
    <r>
      <rPr>
        <b val="true"/>
        <sz val="16"/>
        <color rgb="FFFFFFFF"/>
        <rFont val="맑은 고딕"/>
        <family val="0"/>
        <charset val="1"/>
      </rPr>
      <t xml:space="preserve">- UI </t>
    </r>
    <r>
      <rPr>
        <b val="true"/>
        <sz val="16"/>
        <color rgb="FFFFFFFF"/>
        <rFont val="DejaVu Sans"/>
        <family val="2"/>
      </rPr>
      <t xml:space="preserve">요구사항 구현현황 정의서</t>
    </r>
  </si>
  <si>
    <r>
      <rPr>
        <i val="true"/>
        <sz val="10"/>
        <color rgb="FF595959"/>
        <rFont val="DejaVu Sans"/>
        <family val="2"/>
      </rPr>
      <t xml:space="preserve">비교 대상</t>
    </r>
    <r>
      <rPr>
        <i val="true"/>
        <sz val="10"/>
        <color rgb="FF595959"/>
        <rFont val="맑은 고딕"/>
        <family val="0"/>
        <charset val="1"/>
      </rPr>
      <t xml:space="preserve">: </t>
    </r>
    <r>
      <rPr>
        <i val="true"/>
        <sz val="10"/>
        <color rgb="FF595959"/>
        <rFont val="DejaVu Sans"/>
        <family val="2"/>
      </rPr>
      <t xml:space="preserve">도면검도시스템</t>
    </r>
    <r>
      <rPr>
        <i val="true"/>
        <sz val="10"/>
        <color rgb="FF595959"/>
        <rFont val="맑은 고딕"/>
        <family val="0"/>
        <charset val="1"/>
      </rPr>
      <t xml:space="preserve">_UI_</t>
    </r>
    <r>
      <rPr>
        <i val="true"/>
        <sz val="10"/>
        <color rgb="FF595959"/>
        <rFont val="DejaVu Sans"/>
        <family val="2"/>
      </rPr>
      <t xml:space="preserve">요구사항</t>
    </r>
    <r>
      <rPr>
        <i val="true"/>
        <sz val="10"/>
        <color rgb="FF595959"/>
        <rFont val="맑은 고딕"/>
        <family val="0"/>
        <charset val="1"/>
      </rPr>
      <t xml:space="preserve">.xlsx ↔ Figma </t>
    </r>
    <r>
      <rPr>
        <i val="true"/>
        <sz val="10"/>
        <color rgb="FF595959"/>
        <rFont val="DejaVu Sans"/>
        <family val="2"/>
      </rPr>
      <t xml:space="preserve">페이지</t>
    </r>
    <r>
      <rPr>
        <i val="true"/>
        <sz val="10"/>
        <color rgb="FF595959"/>
        <rFont val="맑은 고딕"/>
        <family val="0"/>
        <charset val="1"/>
      </rPr>
      <t xml:space="preserve">(HVAC-</t>
    </r>
    <r>
      <rPr>
        <i val="true"/>
        <sz val="10"/>
        <color rgb="FF595959"/>
        <rFont val="DejaVu Sans"/>
        <family val="2"/>
      </rPr>
      <t xml:space="preserve">검토용</t>
    </r>
    <r>
      <rPr>
        <i val="true"/>
        <sz val="10"/>
        <color rgb="FF595959"/>
        <rFont val="맑은 고딕"/>
        <family val="0"/>
        <charset val="1"/>
      </rPr>
      <t xml:space="preserve">, node 1014:9951)</t>
    </r>
  </si>
  <si>
    <r>
      <rPr>
        <sz val="10"/>
        <color rgb="FF595959"/>
        <rFont val="DejaVu Sans"/>
        <family val="2"/>
      </rPr>
      <t xml:space="preserve">작성일</t>
    </r>
    <r>
      <rPr>
        <sz val="10"/>
        <color rgb="FF595959"/>
        <rFont val="맑은 고딕"/>
        <family val="0"/>
        <charset val="1"/>
      </rPr>
      <t xml:space="preserve">: 2026-05-28  |  </t>
    </r>
    <r>
      <rPr>
        <sz val="10"/>
        <color rgb="FF595959"/>
        <rFont val="DejaVu Sans"/>
        <family val="2"/>
      </rPr>
      <t xml:space="preserve">총 </t>
    </r>
    <r>
      <rPr>
        <sz val="10"/>
        <color rgb="FF595959"/>
        <rFont val="맑은 고딕"/>
        <family val="0"/>
        <charset val="1"/>
      </rPr>
      <t xml:space="preserve">113</t>
    </r>
    <r>
      <rPr>
        <sz val="10"/>
        <color rgb="FF595959"/>
        <rFont val="DejaVu Sans"/>
        <family val="2"/>
      </rPr>
      <t xml:space="preserve">건  </t>
    </r>
    <r>
      <rPr>
        <sz val="10"/>
        <color rgb="FF595959"/>
        <rFont val="맑은 고딕"/>
        <family val="0"/>
        <charset val="1"/>
      </rPr>
      <t xml:space="preserve">|  </t>
    </r>
    <r>
      <rPr>
        <sz val="10"/>
        <color rgb="FF595959"/>
        <rFont val="DejaVu Sans"/>
        <family val="2"/>
      </rPr>
      <t xml:space="preserve">범례</t>
    </r>
    <r>
      <rPr>
        <sz val="10"/>
        <color rgb="FF595959"/>
        <rFont val="맑은 고딕"/>
        <family val="0"/>
        <charset val="1"/>
      </rPr>
      <t xml:space="preserve">: O=</t>
    </r>
    <r>
      <rPr>
        <sz val="10"/>
        <color rgb="FF595959"/>
        <rFont val="DejaVu Sans"/>
        <family val="2"/>
      </rPr>
      <t xml:space="preserve">구현완료  △</t>
    </r>
    <r>
      <rPr>
        <sz val="10"/>
        <color rgb="FF595959"/>
        <rFont val="맑은 고딕"/>
        <family val="0"/>
        <charset val="1"/>
      </rPr>
      <t xml:space="preserve">=</t>
    </r>
    <r>
      <rPr>
        <sz val="10"/>
        <color rgb="FF595959"/>
        <rFont val="DejaVu Sans"/>
        <family val="2"/>
      </rPr>
      <t xml:space="preserve">부분구현  </t>
    </r>
    <r>
      <rPr>
        <sz val="10"/>
        <color rgb="FF595959"/>
        <rFont val="맑은 고딕"/>
        <family val="0"/>
        <charset val="1"/>
      </rPr>
      <t xml:space="preserve">X=</t>
    </r>
    <r>
      <rPr>
        <sz val="10"/>
        <color rgb="FF595959"/>
        <rFont val="DejaVu Sans"/>
        <family val="2"/>
      </rPr>
      <t xml:space="preserve">미구현  </t>
    </r>
    <r>
      <rPr>
        <sz val="10"/>
        <color rgb="FF595959"/>
        <rFont val="맑은 고딕"/>
        <family val="0"/>
        <charset val="1"/>
      </rPr>
      <t xml:space="preserve">N/A=UI </t>
    </r>
    <r>
      <rPr>
        <sz val="10"/>
        <color rgb="FF595959"/>
        <rFont val="DejaVu Sans"/>
        <family val="2"/>
      </rPr>
      <t xml:space="preserve">비대상</t>
    </r>
    <r>
      <rPr>
        <sz val="10"/>
        <color rgb="FF595959"/>
        <rFont val="맑은 고딕"/>
        <family val="0"/>
        <charset val="1"/>
      </rPr>
      <t xml:space="preserve">(</t>
    </r>
    <r>
      <rPr>
        <sz val="10"/>
        <color rgb="FF595959"/>
        <rFont val="DejaVu Sans"/>
        <family val="2"/>
      </rPr>
      <t xml:space="preserve">백엔드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DejaVu Sans"/>
        <family val="2"/>
      </rPr>
      <t xml:space="preserve">기술요건</t>
    </r>
    <r>
      <rPr>
        <sz val="10"/>
        <color rgb="FF595959"/>
        <rFont val="맑은 고딕"/>
        <family val="0"/>
        <charset val="1"/>
      </rPr>
      <t xml:space="preserve">)</t>
    </r>
  </si>
  <si>
    <t xml:space="preserve">No</t>
  </si>
  <si>
    <r>
      <rPr>
        <b val="true"/>
        <sz val="11"/>
        <color rgb="FFFFFFFF"/>
        <rFont val="DejaVu Sans"/>
        <family val="2"/>
      </rPr>
      <t xml:space="preserve">주업무 </t>
    </r>
    <r>
      <rPr>
        <b val="true"/>
        <sz val="11"/>
        <color rgb="FFFFFFFF"/>
        <rFont val="맑은 고딕"/>
        <family val="0"/>
        <charset val="1"/>
      </rPr>
      <t xml:space="preserve">(LEVEL2)</t>
    </r>
  </si>
  <si>
    <r>
      <rPr>
        <b val="true"/>
        <sz val="11"/>
        <color rgb="FFFFFFFF"/>
        <rFont val="DejaVu Sans"/>
        <family val="2"/>
      </rPr>
      <t xml:space="preserve">화면</t>
    </r>
    <r>
      <rPr>
        <b val="true"/>
        <sz val="11"/>
        <color rgb="FFFFFFFF"/>
        <rFont val="맑은 고딕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상세업무 </t>
    </r>
    <r>
      <rPr>
        <b val="true"/>
        <sz val="11"/>
        <color rgb="FFFFFFFF"/>
        <rFont val="맑은 고딕"/>
        <family val="0"/>
        <charset val="1"/>
      </rPr>
      <t xml:space="preserve">(LEVEL3)</t>
    </r>
  </si>
  <si>
    <r>
      <rPr>
        <b val="true"/>
        <sz val="11"/>
        <color rgb="FFFFFFFF"/>
        <rFont val="DejaVu Sans"/>
        <family val="2"/>
      </rPr>
      <t xml:space="preserve">단위프로세스 </t>
    </r>
    <r>
      <rPr>
        <b val="true"/>
        <sz val="11"/>
        <color rgb="FFFFFFFF"/>
        <rFont val="맑은 고딕"/>
        <family val="0"/>
        <charset val="1"/>
      </rPr>
      <t xml:space="preserve">(LEVEL4)</t>
    </r>
  </si>
  <si>
    <t xml:space="preserve">상세 구현 설명</t>
  </si>
  <si>
    <r>
      <rPr>
        <b val="true"/>
        <sz val="11"/>
        <color rgb="FFFFFFFF"/>
        <rFont val="맑은 고딕"/>
        <family val="0"/>
        <charset val="1"/>
      </rPr>
      <t xml:space="preserve">UI </t>
    </r>
    <r>
      <rPr>
        <b val="true"/>
        <sz val="11"/>
        <color rgb="FFFFFFFF"/>
        <rFont val="DejaVu Sans"/>
        <family val="2"/>
      </rPr>
      <t xml:space="preserve">분류</t>
    </r>
  </si>
  <si>
    <t xml:space="preserve">구현 상태</t>
  </si>
  <si>
    <r>
      <rPr>
        <b val="true"/>
        <sz val="11"/>
        <color rgb="FFFFFFFF"/>
        <rFont val="맑은 고딕"/>
        <family val="0"/>
        <charset val="1"/>
      </rPr>
      <t xml:space="preserve">Figma </t>
    </r>
    <r>
      <rPr>
        <b val="true"/>
        <sz val="11"/>
        <color rgb="FFFFFFFF"/>
        <rFont val="DejaVu Sans"/>
        <family val="2"/>
      </rPr>
      <t xml:space="preserve">매핑 화면</t>
    </r>
  </si>
  <si>
    <r>
      <rPr>
        <b val="true"/>
        <sz val="11"/>
        <color rgb="FFFFFFFF"/>
        <rFont val="DejaVu Sans"/>
        <family val="2"/>
      </rPr>
      <t xml:space="preserve">비고 </t>
    </r>
    <r>
      <rPr>
        <b val="true"/>
        <sz val="11"/>
        <color rgb="FFFFFFFF"/>
        <rFont val="맑은 고딕"/>
        <family val="0"/>
        <charset val="1"/>
      </rPr>
      <t xml:space="preserve">/ Gap </t>
    </r>
    <r>
      <rPr>
        <b val="true"/>
        <sz val="11"/>
        <color rgb="FFFFFFFF"/>
        <rFont val="DejaVu Sans"/>
        <family val="2"/>
      </rPr>
      <t xml:space="preserve">분석</t>
    </r>
  </si>
  <si>
    <t xml:space="preserve">실내외기 자동 선정</t>
  </si>
  <si>
    <t xml:space="preserve">실외기 배치</t>
  </si>
  <si>
    <t xml:space="preserve">실외기 설치구역 지정 입력</t>
  </si>
  <si>
    <r>
      <rPr>
        <sz val="10"/>
        <rFont val="DejaVu Sans"/>
        <family val="2"/>
      </rPr>
      <t xml:space="preserve">사용자 지정 실외기 설치구역 영역 입력 </t>
    </r>
    <r>
      <rPr>
        <sz val="10"/>
        <rFont val="맑은 고딕"/>
        <family val="0"/>
        <charset val="1"/>
      </rPr>
      <t xml:space="preserve">UI</t>
    </r>
  </si>
  <si>
    <t xml:space="preserve">화면 기능</t>
  </si>
  <si>
    <t xml:space="preserve">△</t>
  </si>
  <si>
    <r>
      <rPr>
        <sz val="10"/>
        <rFont val="DejaVu Sans"/>
        <family val="2"/>
      </rPr>
      <t xml:space="preserve">방 검출 결과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우측 패널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실외기 탭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</si>
  <si>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실외기 영역 하이라이트는 있으나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사용자가 직접 영역을 그리거나 지정하는 인터랙션 도구 미구현</t>
    </r>
  </si>
  <si>
    <r>
      <rPr>
        <sz val="10"/>
        <rFont val="DejaVu Sans"/>
        <family val="2"/>
      </rPr>
      <t xml:space="preserve">데이터 분석</t>
    </r>
    <r>
      <rPr>
        <sz val="10"/>
        <rFont val="맑은 고딕"/>
        <family val="0"/>
        <charset val="1"/>
      </rPr>
      <t xml:space="preserve">(DS)</t>
    </r>
  </si>
  <si>
    <t xml:space="preserve">품질 지표</t>
  </si>
  <si>
    <t xml:space="preserve">품질 지표 대시보드</t>
  </si>
  <si>
    <r>
      <rPr>
        <sz val="10"/>
        <rFont val="DejaVu Sans"/>
        <family val="2"/>
      </rPr>
      <t xml:space="preserve">모델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알고리즘 개선용 핵심 지표 조회 화면</t>
    </r>
  </si>
  <si>
    <t xml:space="preserve">대시보드</t>
  </si>
  <si>
    <t xml:space="preserve">X</t>
  </si>
  <si>
    <t xml:space="preserve">-</t>
  </si>
  <si>
    <r>
      <rPr>
        <sz val="10"/>
        <rFont val="DejaVu Sans"/>
        <family val="2"/>
      </rPr>
      <t xml:space="preserve">품질 지표 전용 대시보드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모델 정확도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재현율 등 </t>
    </r>
    <r>
      <rPr>
        <sz val="10"/>
        <rFont val="맑은 고딕"/>
        <family val="0"/>
        <charset val="1"/>
      </rPr>
      <t xml:space="preserve">ML </t>
    </r>
    <r>
      <rPr>
        <sz val="10"/>
        <rFont val="DejaVu Sans"/>
        <family val="2"/>
      </rPr>
      <t xml:space="preserve">지표</t>
    </r>
    <r>
      <rPr>
        <sz val="10"/>
        <rFont val="맑은 고딕"/>
        <family val="0"/>
        <charset val="1"/>
      </rPr>
      <t xml:space="preserve">) </t>
    </r>
    <r>
      <rPr>
        <sz val="10"/>
        <rFont val="DejaVu Sans"/>
        <family val="2"/>
      </rPr>
      <t xml:space="preserve">미구현</t>
    </r>
  </si>
  <si>
    <r>
      <rPr>
        <sz val="10"/>
        <rFont val="DejaVu Sans"/>
        <family val="2"/>
      </rPr>
      <t xml:space="preserve">대시보드 차트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그래프 렌더링</t>
    </r>
  </si>
  <si>
    <r>
      <rPr>
        <sz val="10"/>
        <rFont val="DejaVu Sans"/>
        <family val="2"/>
      </rPr>
      <t xml:space="preserve">품질 지표 차트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그래프 렌더링 처리</t>
    </r>
  </si>
  <si>
    <r>
      <rPr>
        <sz val="10"/>
        <rFont val="DejaVu Sans"/>
        <family val="2"/>
      </rPr>
      <t xml:space="preserve">품질 지표 차트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그래프 미구현</t>
    </r>
  </si>
  <si>
    <t xml:space="preserve">도면 업로드</t>
  </si>
  <si>
    <r>
      <rPr>
        <sz val="10"/>
        <rFont val="DejaVu Sans"/>
        <family val="2"/>
      </rPr>
      <t xml:space="preserve">업로드 </t>
    </r>
    <r>
      <rPr>
        <sz val="10"/>
        <rFont val="맑은 고딕"/>
        <family val="0"/>
        <charset val="1"/>
      </rPr>
      <t xml:space="preserve">UI</t>
    </r>
  </si>
  <si>
    <t xml:space="preserve">도면 파일 업로드 화면</t>
  </si>
  <si>
    <r>
      <rPr>
        <sz val="10"/>
        <rFont val="DejaVu Sans"/>
        <family val="2"/>
      </rPr>
      <t xml:space="preserve">파일 선택 및 드래그앤드롭 업로드 </t>
    </r>
    <r>
      <rPr>
        <sz val="10"/>
        <rFont val="맑은 고딕"/>
        <family val="0"/>
        <charset val="1"/>
      </rPr>
      <t xml:space="preserve">UI </t>
    </r>
    <r>
      <rPr>
        <sz val="10"/>
        <rFont val="DejaVu Sans"/>
        <family val="2"/>
      </rPr>
      <t xml:space="preserve">구현</t>
    </r>
  </si>
  <si>
    <t xml:space="preserve">업로드 화면</t>
  </si>
  <si>
    <r>
      <rPr>
        <sz val="10"/>
        <rFont val="DejaVu Sans"/>
        <family val="2"/>
      </rPr>
      <t xml:space="preserve">신규 검도 팝업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장비 엑셀 업로드 모달</t>
    </r>
  </si>
  <si>
    <r>
      <rPr>
        <sz val="10"/>
        <rFont val="DejaVu Sans"/>
        <family val="2"/>
      </rPr>
      <t xml:space="preserve">신규 검도 팝업이 도면 업로드 진입점 역할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드래그앤드롭은 장비 엑셀 모달에만 구현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도면 전용 </t>
    </r>
    <r>
      <rPr>
        <sz val="10"/>
        <rFont val="맑은 고딕"/>
        <family val="0"/>
        <charset val="1"/>
      </rPr>
      <t xml:space="preserve">D&amp;D UI </t>
    </r>
    <r>
      <rPr>
        <sz val="10"/>
        <rFont val="DejaVu Sans"/>
        <family val="2"/>
      </rPr>
      <t xml:space="preserve">보강 필요</t>
    </r>
  </si>
  <si>
    <r>
      <rPr>
        <sz val="10"/>
        <rFont val="DejaVu Sans"/>
        <family val="2"/>
      </rPr>
      <t xml:space="preserve">프로젝트 단위 파일 관리 </t>
    </r>
    <r>
      <rPr>
        <sz val="10"/>
        <rFont val="맑은 고딕"/>
        <family val="0"/>
        <charset val="1"/>
      </rPr>
      <t xml:space="preserve">UI</t>
    </r>
  </si>
  <si>
    <r>
      <rPr>
        <sz val="10"/>
        <rFont val="DejaVu Sans"/>
        <family val="2"/>
      </rPr>
      <t xml:space="preserve">프로젝트별 도면 파일 목록 관리 </t>
    </r>
    <r>
      <rPr>
        <sz val="10"/>
        <rFont val="맑은 고딕"/>
        <family val="0"/>
        <charset val="1"/>
      </rPr>
      <t xml:space="preserve">UI</t>
    </r>
  </si>
  <si>
    <t xml:space="preserve">O</t>
  </si>
  <si>
    <t xml:space="preserve">신규 검도 팝업</t>
  </si>
  <si>
    <r>
      <rPr>
        <sz val="10"/>
        <rFont val="DejaVu Sans"/>
        <family val="2"/>
      </rPr>
      <t xml:space="preserve">프로젝트명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도면 수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상태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진행률 컬럼 테이블 구현</t>
    </r>
  </si>
  <si>
    <r>
      <rPr>
        <sz val="10"/>
        <rFont val="DejaVu Sans"/>
        <family val="2"/>
      </rPr>
      <t xml:space="preserve">업로드 진행률 표시 </t>
    </r>
    <r>
      <rPr>
        <sz val="10"/>
        <rFont val="맑은 고딕"/>
        <family val="0"/>
        <charset val="1"/>
      </rPr>
      <t xml:space="preserve">UI</t>
    </r>
  </si>
  <si>
    <t xml:space="preserve">파일별 업로드 진행률 실시간 표시</t>
  </si>
  <si>
    <r>
      <rPr>
        <sz val="10"/>
        <rFont val="DejaVu Sans"/>
        <family val="2"/>
      </rPr>
      <t xml:space="preserve">검도 작업 목록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진행률 컬럼</t>
    </r>
    <r>
      <rPr>
        <sz val="10"/>
        <rFont val="맑은 고딕"/>
        <family val="0"/>
        <charset val="1"/>
      </rPr>
      <t xml:space="preserve">)</t>
    </r>
  </si>
  <si>
    <t xml:space="preserve">목록 단위 진행률은 표시되나 개별 파일 업로드 중 실시간 진행률 바 미구현</t>
  </si>
  <si>
    <t xml:space="preserve">파일 유형 검증 및 미리보기</t>
  </si>
  <si>
    <r>
      <rPr>
        <sz val="10"/>
        <rFont val="맑은 고딕"/>
        <family val="0"/>
        <charset val="1"/>
      </rPr>
      <t xml:space="preserve">PDF/DWG/DXF </t>
    </r>
    <r>
      <rPr>
        <sz val="10"/>
        <rFont val="DejaVu Sans"/>
        <family val="2"/>
      </rPr>
      <t xml:space="preserve">파일 유형 검증 및 썸네일 미리보기</t>
    </r>
  </si>
  <si>
    <r>
      <rPr>
        <sz val="10"/>
        <rFont val="DejaVu Sans"/>
        <family val="2"/>
      </rPr>
      <t xml:space="preserve">도면 파일 유형 검증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썸네일 미리보기 미구현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장비 엑셀에만 검증 미리보기 존재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</si>
  <si>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도면 파일 업로드 화면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추가처리 </t>
    </r>
    <r>
      <rPr>
        <sz val="10"/>
        <rFont val="맑은 고딕"/>
        <family val="0"/>
        <charset val="1"/>
      </rPr>
      <t xml:space="preserve">5</t>
    </r>
  </si>
  <si>
    <r>
      <rPr>
        <sz val="10"/>
        <rFont val="맑은 고딕"/>
        <family val="0"/>
        <charset val="1"/>
      </rPr>
      <t xml:space="preserve">PDF/DWG/DXF </t>
    </r>
    <r>
      <rPr>
        <sz val="10"/>
        <rFont val="DejaVu Sans"/>
        <family val="2"/>
      </rPr>
      <t xml:space="preserve">도면 파일 프로젝트 단위 업로드 화면 구현 추가처리 </t>
    </r>
    <r>
      <rPr>
        <sz val="10"/>
        <rFont val="맑은 고딕"/>
        <family val="0"/>
        <charset val="1"/>
      </rPr>
      <t xml:space="preserve">5</t>
    </r>
  </si>
  <si>
    <r>
      <rPr>
        <sz val="10"/>
        <rFont val="DejaVu Sans"/>
        <family val="2"/>
      </rPr>
      <t xml:space="preserve">부분 구현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도면 전용 업로드 영역 별도 설계 필요</t>
    </r>
  </si>
  <si>
    <r>
      <rPr>
        <sz val="10"/>
        <rFont val="DejaVu Sans"/>
        <family val="2"/>
      </rPr>
      <t xml:space="preserve">업로드 상태 표시 </t>
    </r>
    <r>
      <rPr>
        <sz val="10"/>
        <rFont val="맑은 고딕"/>
        <family val="0"/>
        <charset val="1"/>
      </rPr>
      <t xml:space="preserve">UI</t>
    </r>
  </si>
  <si>
    <r>
      <rPr>
        <sz val="10"/>
        <rFont val="DejaVu Sans"/>
        <family val="2"/>
      </rPr>
      <t xml:space="preserve">대기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진행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완료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실패 상태 표시 </t>
    </r>
    <r>
      <rPr>
        <sz val="10"/>
        <rFont val="맑은 고딕"/>
        <family val="0"/>
        <charset val="1"/>
      </rPr>
      <t xml:space="preserve">UI</t>
    </r>
  </si>
  <si>
    <r>
      <rPr>
        <sz val="10"/>
        <rFont val="DejaVu Sans"/>
        <family val="2"/>
      </rPr>
      <t xml:space="preserve">검도 작업 목록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상태 컬럼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</si>
  <si>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상태 </t>
    </r>
    <r>
      <rPr>
        <sz val="10"/>
        <rFont val="맑은 고딕"/>
        <family val="0"/>
        <charset val="1"/>
      </rPr>
      <t xml:space="preserve">Badge(</t>
    </r>
    <r>
      <rPr>
        <sz val="10"/>
        <rFont val="DejaVu Sans"/>
        <family val="2"/>
      </rPr>
      <t xml:space="preserve">완료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진행 중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오류</t>
    </r>
    <r>
      <rPr>
        <sz val="10"/>
        <rFont val="맑은 고딕"/>
        <family val="0"/>
        <charset val="1"/>
      </rPr>
      <t xml:space="preserve">) </t>
    </r>
    <r>
      <rPr>
        <sz val="10"/>
        <rFont val="DejaVu Sans"/>
        <family val="2"/>
      </rPr>
      <t xml:space="preserve">구현</t>
    </r>
  </si>
  <si>
    <t xml:space="preserve">진행률 실시간 업데이트 처리</t>
  </si>
  <si>
    <t xml:space="preserve">업로드 진행률 실시간 업데이트 처리</t>
  </si>
  <si>
    <t xml:space="preserve">N/A</t>
  </si>
  <si>
    <r>
      <rPr>
        <sz val="10"/>
        <rFont val="DejaVu Sans"/>
        <family val="2"/>
      </rPr>
      <t xml:space="preserve">백엔드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기술 요건 </t>
    </r>
    <r>
      <rPr>
        <sz val="10"/>
        <rFont val="맑은 고딕"/>
        <family val="0"/>
        <charset val="1"/>
      </rPr>
      <t xml:space="preserve">(UI </t>
    </r>
    <r>
      <rPr>
        <sz val="10"/>
        <rFont val="DejaVu Sans"/>
        <family val="2"/>
      </rPr>
      <t xml:space="preserve">매핑 비대상</t>
    </r>
    <r>
      <rPr>
        <sz val="10"/>
        <rFont val="맑은 고딕"/>
        <family val="0"/>
        <charset val="1"/>
      </rPr>
      <t xml:space="preserve">)</t>
    </r>
  </si>
  <si>
    <t xml:space="preserve">도면 기본정보 자동추출 표시</t>
  </si>
  <si>
    <r>
      <rPr>
        <sz val="10"/>
        <rFont val="DejaVu Sans"/>
        <family val="2"/>
      </rPr>
      <t xml:space="preserve">파일명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페이지수 자동 인식 및 표시</t>
    </r>
  </si>
  <si>
    <r>
      <rPr>
        <sz val="10"/>
        <rFont val="DejaVu Sans"/>
        <family val="2"/>
      </rPr>
      <t xml:space="preserve">파일명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도면수 표시는 있으나 페이지수 자동 인식 결과 표시 영역 미구현</t>
    </r>
  </si>
  <si>
    <r>
      <rPr>
        <sz val="10"/>
        <rFont val="DejaVu Sans"/>
        <family val="2"/>
      </rPr>
      <t xml:space="preserve">스케일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도면유형 자동인식 표시</t>
    </r>
  </si>
  <si>
    <r>
      <rPr>
        <sz val="10"/>
        <rFont val="DejaVu Sans"/>
        <family val="2"/>
      </rPr>
      <t xml:space="preserve">도면 스케일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유형 자동 인식 결과 표시</t>
    </r>
  </si>
  <si>
    <r>
      <rPr>
        <sz val="10"/>
        <rFont val="DejaVu Sans"/>
        <family val="2"/>
      </rPr>
      <t xml:space="preserve">스케일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도면 유형 자동 인식 표시 영역 미구현</t>
    </r>
  </si>
  <si>
    <t xml:space="preserve">자동추출 결과 편집 기능</t>
  </si>
  <si>
    <r>
      <rPr>
        <sz val="10"/>
        <rFont val="DejaVu Sans"/>
        <family val="2"/>
      </rPr>
      <t xml:space="preserve">자동추출 결과 사용자 수정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확인 기능</t>
    </r>
  </si>
  <si>
    <r>
      <rPr>
        <sz val="10"/>
        <rFont val="DejaVu Sans"/>
        <family val="2"/>
      </rPr>
      <t xml:space="preserve">자동 추출 결과를 사용자가 수정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확인하는 인터페이스 미구현</t>
    </r>
  </si>
  <si>
    <t xml:space="preserve">추출 결과 저장 처리</t>
  </si>
  <si>
    <t xml:space="preserve">확인된 기본정보 데이터 저장 처리</t>
  </si>
  <si>
    <r>
      <rPr>
        <sz val="10"/>
        <rFont val="DejaVu Sans"/>
        <family val="2"/>
      </rPr>
      <t xml:space="preserve">도면 기본정보 자동추출 표시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추가처리 </t>
    </r>
    <r>
      <rPr>
        <sz val="10"/>
        <rFont val="맑은 고딕"/>
        <family val="0"/>
        <charset val="1"/>
      </rPr>
      <t xml:space="preserve">5</t>
    </r>
  </si>
  <si>
    <r>
      <rPr>
        <sz val="10"/>
        <rFont val="DejaVu Sans"/>
        <family val="2"/>
      </rPr>
      <t xml:space="preserve">파일명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페이지수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스케일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도면유형 자동인식 결과 표시 추가처리 </t>
    </r>
    <r>
      <rPr>
        <sz val="10"/>
        <rFont val="맑은 고딕"/>
        <family val="0"/>
        <charset val="1"/>
      </rPr>
      <t xml:space="preserve">5</t>
    </r>
  </si>
  <si>
    <t xml:space="preserve">부분 구현</t>
  </si>
  <si>
    <r>
      <rPr>
        <sz val="10"/>
        <rFont val="DejaVu Sans"/>
        <family val="2"/>
      </rPr>
      <t xml:space="preserve">분석 대상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옵션 선택 화면</t>
    </r>
  </si>
  <si>
    <r>
      <rPr>
        <sz val="10"/>
        <rFont val="DejaVu Sans"/>
        <family val="2"/>
      </rPr>
      <t xml:space="preserve">분석 대상 도면 선택 및 검도유형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항목 옵션 설정 화면</t>
    </r>
  </si>
  <si>
    <r>
      <rPr>
        <sz val="10"/>
        <rFont val="DejaVu Sans"/>
        <family val="2"/>
      </rPr>
      <t xml:space="preserve">대상 선택 단계는 있으나 검도 유형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항목 옵션 설정 </t>
    </r>
    <r>
      <rPr>
        <sz val="10"/>
        <rFont val="맑은 고딕"/>
        <family val="0"/>
        <charset val="1"/>
      </rPr>
      <t xml:space="preserve">UI </t>
    </r>
    <r>
      <rPr>
        <sz val="10"/>
        <rFont val="DejaVu Sans"/>
        <family val="2"/>
      </rPr>
      <t xml:space="preserve">미구현</t>
    </r>
  </si>
  <si>
    <t xml:space="preserve">분석 진행 현황</t>
  </si>
  <si>
    <r>
      <rPr>
        <sz val="10"/>
        <rFont val="DejaVu Sans"/>
        <family val="2"/>
      </rPr>
      <t xml:space="preserve">현황 </t>
    </r>
    <r>
      <rPr>
        <sz val="10"/>
        <rFont val="맑은 고딕"/>
        <family val="0"/>
        <charset val="1"/>
      </rPr>
      <t xml:space="preserve">UI</t>
    </r>
  </si>
  <si>
    <t xml:space="preserve">분석 단계별 진행 상태 화면</t>
  </si>
  <si>
    <r>
      <rPr>
        <sz val="10"/>
        <rFont val="DejaVu Sans"/>
        <family val="2"/>
      </rPr>
      <t xml:space="preserve">업로드→전처리→검도 단계 상태 표시 </t>
    </r>
    <r>
      <rPr>
        <sz val="10"/>
        <rFont val="맑은 고딕"/>
        <family val="0"/>
        <charset val="1"/>
      </rPr>
      <t xml:space="preserve">UI</t>
    </r>
  </si>
  <si>
    <t xml:space="preserve">현황 화면</t>
  </si>
  <si>
    <r>
      <rPr>
        <sz val="10"/>
        <rFont val="DejaVu Sans"/>
        <family val="2"/>
      </rPr>
      <t xml:space="preserve">생성 작업 목록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현재단계 컬럼</t>
    </r>
    <r>
      <rPr>
        <sz val="10"/>
        <rFont val="맑은 고딕"/>
        <family val="0"/>
        <charset val="1"/>
      </rPr>
      <t xml:space="preserve">)</t>
    </r>
  </si>
  <si>
    <t xml:space="preserve">목록 단계 표시는 있으나 단계별 상태 다이어그램 화면 미구현</t>
  </si>
  <si>
    <r>
      <rPr>
        <sz val="10"/>
        <rFont val="DejaVu Sans"/>
        <family val="2"/>
      </rPr>
      <t xml:space="preserve">단계별 진행률 표시 </t>
    </r>
    <r>
      <rPr>
        <sz val="10"/>
        <rFont val="맑은 고딕"/>
        <family val="0"/>
        <charset val="1"/>
      </rPr>
      <t xml:space="preserve">UI</t>
    </r>
  </si>
  <si>
    <r>
      <rPr>
        <sz val="10"/>
        <rFont val="DejaVu Sans"/>
        <family val="2"/>
      </rPr>
      <t xml:space="preserve">각 분석 단계별 진행률 막대 표시 </t>
    </r>
    <r>
      <rPr>
        <sz val="10"/>
        <rFont val="맑은 고딕"/>
        <family val="0"/>
        <charset val="1"/>
      </rPr>
      <t xml:space="preserve">UI</t>
    </r>
  </si>
  <si>
    <r>
      <rPr>
        <sz val="10"/>
        <rFont val="DejaVu Sans"/>
        <family val="2"/>
      </rPr>
      <t xml:space="preserve">검도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생성 작업 목록</t>
    </r>
  </si>
  <si>
    <r>
      <rPr>
        <sz val="10"/>
        <rFont val="DejaVu Sans"/>
        <family val="2"/>
      </rPr>
      <t xml:space="preserve">진행률 컬럼 존재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단계별 분할 진행률 막대 </t>
    </r>
    <r>
      <rPr>
        <sz val="10"/>
        <rFont val="맑은 고딕"/>
        <family val="0"/>
        <charset val="1"/>
      </rPr>
      <t xml:space="preserve">UI </t>
    </r>
    <r>
      <rPr>
        <sz val="10"/>
        <rFont val="DejaVu Sans"/>
        <family val="2"/>
      </rPr>
      <t xml:space="preserve">보강 필요</t>
    </r>
  </si>
  <si>
    <r>
      <rPr>
        <sz val="10"/>
        <rFont val="DejaVu Sans"/>
        <family val="2"/>
      </rPr>
      <t xml:space="preserve">분석 완료 알림 </t>
    </r>
    <r>
      <rPr>
        <sz val="10"/>
        <rFont val="맑은 고딕"/>
        <family val="0"/>
        <charset val="1"/>
      </rPr>
      <t xml:space="preserve">UI</t>
    </r>
  </si>
  <si>
    <r>
      <rPr>
        <sz val="10"/>
        <rFont val="DejaVu Sans"/>
        <family val="2"/>
      </rPr>
      <t xml:space="preserve">분석 완료 시 알림 및 결과 이동 안내 </t>
    </r>
    <r>
      <rPr>
        <sz val="10"/>
        <rFont val="맑은 고딕"/>
        <family val="0"/>
        <charset val="1"/>
      </rPr>
      <t xml:space="preserve">UI</t>
    </r>
  </si>
  <si>
    <r>
      <rPr>
        <sz val="10"/>
        <rFont val="DejaVu Sans"/>
        <family val="2"/>
      </rPr>
      <t xml:space="preserve">완료 알림 토스트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배너 및 결과 이동 안내 </t>
    </r>
    <r>
      <rPr>
        <sz val="10"/>
        <rFont val="맑은 고딕"/>
        <family val="0"/>
        <charset val="1"/>
      </rPr>
      <t xml:space="preserve">UI </t>
    </r>
    <r>
      <rPr>
        <sz val="10"/>
        <rFont val="DejaVu Sans"/>
        <family val="2"/>
      </rPr>
      <t xml:space="preserve">미구현</t>
    </r>
  </si>
  <si>
    <r>
      <rPr>
        <sz val="10"/>
        <rFont val="DejaVu Sans"/>
        <family val="2"/>
      </rPr>
      <t xml:space="preserve">분석 오류 상태 표시 </t>
    </r>
    <r>
      <rPr>
        <sz val="10"/>
        <rFont val="맑은 고딕"/>
        <family val="0"/>
        <charset val="1"/>
      </rPr>
      <t xml:space="preserve">UI</t>
    </r>
  </si>
  <si>
    <r>
      <rPr>
        <sz val="10"/>
        <rFont val="DejaVu Sans"/>
        <family val="2"/>
      </rPr>
      <t xml:space="preserve">분석 오류 발생 시 상세 상태 표시 </t>
    </r>
    <r>
      <rPr>
        <sz val="10"/>
        <rFont val="맑은 고딕"/>
        <family val="0"/>
        <charset val="1"/>
      </rPr>
      <t xml:space="preserve">UI</t>
    </r>
  </si>
  <si>
    <r>
      <rPr>
        <sz val="10"/>
        <rFont val="DejaVu Sans"/>
        <family val="2"/>
      </rPr>
      <t xml:space="preserve">검도 작업 목록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오류 상태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재시도 버튼</t>
    </r>
    <r>
      <rPr>
        <sz val="10"/>
        <rFont val="맑은 고딕"/>
        <family val="0"/>
        <charset val="1"/>
      </rPr>
      <t xml:space="preserve">)</t>
    </r>
  </si>
  <si>
    <t xml:space="preserve">오류 상태 표시 및 재시도 버튼 구현</t>
  </si>
  <si>
    <r>
      <rPr>
        <sz val="10"/>
        <rFont val="DejaVu Sans"/>
        <family val="2"/>
      </rPr>
      <t xml:space="preserve">분석 단계별 진행 상태 화면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추가처리 </t>
    </r>
    <r>
      <rPr>
        <sz val="10"/>
        <rFont val="맑은 고딕"/>
        <family val="0"/>
        <charset val="1"/>
      </rPr>
      <t xml:space="preserve">5</t>
    </r>
  </si>
  <si>
    <r>
      <rPr>
        <sz val="10"/>
        <rFont val="DejaVu Sans"/>
        <family val="2"/>
      </rPr>
      <t xml:space="preserve">업로드→전처리→검도→결과 단계별 상태 표시 화면 추가처리 </t>
    </r>
    <r>
      <rPr>
        <sz val="10"/>
        <rFont val="맑은 고딕"/>
        <family val="0"/>
        <charset val="1"/>
      </rPr>
      <t xml:space="preserve">5</t>
    </r>
  </si>
  <si>
    <t xml:space="preserve">생성 작업 목록</t>
  </si>
  <si>
    <r>
      <rPr>
        <sz val="10"/>
        <rFont val="DejaVu Sans"/>
        <family val="2"/>
      </rPr>
      <t xml:space="preserve">부분 구현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전용 진행 현황 화면 보강 필요</t>
    </r>
  </si>
  <si>
    <r>
      <rPr>
        <sz val="10"/>
        <rFont val="DejaVu Sans"/>
        <family val="2"/>
      </rPr>
      <t xml:space="preserve">실시간 진행률 </t>
    </r>
    <r>
      <rPr>
        <sz val="10"/>
        <rFont val="맑은 고딕"/>
        <family val="0"/>
        <charset val="1"/>
      </rPr>
      <t xml:space="preserve">WebSocket</t>
    </r>
  </si>
  <si>
    <r>
      <rPr>
        <sz val="10"/>
        <rFont val="맑은 고딕"/>
        <family val="0"/>
        <charset val="1"/>
      </rPr>
      <t xml:space="preserve">WebSocket </t>
    </r>
    <r>
      <rPr>
        <sz val="10"/>
        <rFont val="DejaVu Sans"/>
        <family val="2"/>
      </rPr>
      <t xml:space="preserve">연결 수립 및 세션 관리</t>
    </r>
  </si>
  <si>
    <t xml:space="preserve">진행률 이벤트 발행 처리</t>
  </si>
  <si>
    <t xml:space="preserve">분석 엔진의 진행률 이벤트 발행 처리</t>
  </si>
  <si>
    <t xml:space="preserve">클라이언트 메시지 수신 처리</t>
  </si>
  <si>
    <r>
      <rPr>
        <sz val="10"/>
        <rFont val="맑은 고딕"/>
        <family val="0"/>
        <charset val="1"/>
      </rPr>
      <t xml:space="preserve">WebSocket </t>
    </r>
    <r>
      <rPr>
        <sz val="10"/>
        <rFont val="DejaVu Sans"/>
        <family val="2"/>
      </rPr>
      <t xml:space="preserve">메시지 클라이언트 수신 및 </t>
    </r>
    <r>
      <rPr>
        <sz val="10"/>
        <rFont val="맑은 고딕"/>
        <family val="0"/>
        <charset val="1"/>
      </rPr>
      <t xml:space="preserve">UI </t>
    </r>
    <r>
      <rPr>
        <sz val="10"/>
        <rFont val="DejaVu Sans"/>
        <family val="2"/>
      </rPr>
      <t xml:space="preserve">반영</t>
    </r>
  </si>
  <si>
    <t xml:space="preserve">연결 끊김 재연결 처리</t>
  </si>
  <si>
    <r>
      <rPr>
        <sz val="10"/>
        <rFont val="맑은 고딕"/>
        <family val="0"/>
        <charset val="1"/>
      </rPr>
      <t xml:space="preserve">WebSocket </t>
    </r>
    <r>
      <rPr>
        <sz val="10"/>
        <rFont val="DejaVu Sans"/>
        <family val="2"/>
      </rPr>
      <t xml:space="preserve">연결 끊김 자동 재연결 처리</t>
    </r>
  </si>
  <si>
    <r>
      <rPr>
        <sz val="10"/>
        <rFont val="DejaVu Sans"/>
        <family val="2"/>
      </rPr>
      <t xml:space="preserve">실시간 진행률 </t>
    </r>
    <r>
      <rPr>
        <sz val="10"/>
        <rFont val="맑은 고딕"/>
        <family val="0"/>
        <charset val="1"/>
      </rPr>
      <t xml:space="preserve">WebSocket - </t>
    </r>
    <r>
      <rPr>
        <sz val="10"/>
        <rFont val="DejaVu Sans"/>
        <family val="2"/>
      </rPr>
      <t xml:space="preserve">추가처리 </t>
    </r>
    <r>
      <rPr>
        <sz val="10"/>
        <rFont val="맑은 고딕"/>
        <family val="0"/>
        <charset val="1"/>
      </rPr>
      <t xml:space="preserve">5</t>
    </r>
  </si>
  <si>
    <r>
      <rPr>
        <sz val="10"/>
        <rFont val="맑은 고딕"/>
        <family val="0"/>
        <charset val="1"/>
      </rPr>
      <t xml:space="preserve">WebSocket </t>
    </r>
    <r>
      <rPr>
        <sz val="10"/>
        <rFont val="DejaVu Sans"/>
        <family val="2"/>
      </rPr>
      <t xml:space="preserve">기반 실시간 분석 진행률 업데이트 구현 추가처리 </t>
    </r>
    <r>
      <rPr>
        <sz val="10"/>
        <rFont val="맑은 고딕"/>
        <family val="0"/>
        <charset val="1"/>
      </rPr>
      <t xml:space="preserve">5</t>
    </r>
  </si>
  <si>
    <r>
      <rPr>
        <sz val="10"/>
        <rFont val="DejaVu Sans"/>
        <family val="2"/>
      </rPr>
      <t xml:space="preserve">병목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오류 구간 시각 표시</t>
    </r>
  </si>
  <si>
    <r>
      <rPr>
        <sz val="10"/>
        <rFont val="DejaVu Sans"/>
        <family val="2"/>
      </rPr>
      <t xml:space="preserve">분석 지연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오류 발생 구간 시각적 하이라이팅</t>
    </r>
  </si>
  <si>
    <r>
      <rPr>
        <sz val="10"/>
        <rFont val="DejaVu Sans"/>
        <family val="2"/>
      </rPr>
      <t xml:space="preserve">병목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오류 구간 시각 표시 </t>
    </r>
    <r>
      <rPr>
        <sz val="10"/>
        <rFont val="맑은 고딕"/>
        <family val="0"/>
        <charset val="1"/>
      </rPr>
      <t xml:space="preserve">UI </t>
    </r>
    <r>
      <rPr>
        <sz val="10"/>
        <rFont val="DejaVu Sans"/>
        <family val="2"/>
      </rPr>
      <t xml:space="preserve">미구현</t>
    </r>
  </si>
  <si>
    <t xml:space="preserve">검도 결과 조회</t>
  </si>
  <si>
    <r>
      <rPr>
        <sz val="10"/>
        <rFont val="DejaVu Sans"/>
        <family val="2"/>
      </rPr>
      <t xml:space="preserve">결과 </t>
    </r>
    <r>
      <rPr>
        <sz val="10"/>
        <rFont val="맑은 고딕"/>
        <family val="0"/>
        <charset val="1"/>
      </rPr>
      <t xml:space="preserve">UI</t>
    </r>
  </si>
  <si>
    <t xml:space="preserve">검도 결과 종합 대시보드</t>
  </si>
  <si>
    <r>
      <rPr>
        <sz val="10"/>
        <rFont val="맑은 고딕"/>
        <family val="0"/>
        <charset val="1"/>
      </rPr>
      <t xml:space="preserve">PASS/WARN/FAIL </t>
    </r>
    <r>
      <rPr>
        <sz val="10"/>
        <rFont val="DejaVu Sans"/>
        <family val="2"/>
      </rPr>
      <t xml:space="preserve">상태별 요약 통계 화면</t>
    </r>
  </si>
  <si>
    <t xml:space="preserve">결과 화면</t>
  </si>
  <si>
    <r>
      <rPr>
        <sz val="10"/>
        <rFont val="DejaVu Sans"/>
        <family val="2"/>
      </rPr>
      <t xml:space="preserve">검도 결과 상세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좌측 패널 펼침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</si>
  <si>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검도 결과 요약 카드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총 배관 길이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총 실외기 수량</t>
    </r>
    <r>
      <rPr>
        <sz val="10"/>
        <rFont val="맑은 고딕"/>
        <family val="0"/>
        <charset val="1"/>
      </rPr>
      <t xml:space="preserve">) </t>
    </r>
    <r>
      <rPr>
        <sz val="10"/>
        <rFont val="DejaVu Sans"/>
        <family val="2"/>
      </rPr>
      <t xml:space="preserve">존재</t>
    </r>
    <r>
      <rPr>
        <sz val="10"/>
        <rFont val="맑은 고딕"/>
        <family val="0"/>
        <charset val="1"/>
      </rPr>
      <t xml:space="preserve">. PASS/WARN/FAIL </t>
    </r>
    <r>
      <rPr>
        <sz val="10"/>
        <rFont val="DejaVu Sans"/>
        <family val="2"/>
      </rPr>
      <t xml:space="preserve">상태별 통계 시각화는 미구현</t>
    </r>
  </si>
  <si>
    <t xml:space="preserve">검도 항목별 상세 결과 표시</t>
  </si>
  <si>
    <t xml:space="preserve">검도 항목별 상세 결과 테이블 표시</t>
  </si>
  <si>
    <r>
      <rPr>
        <sz val="10"/>
        <rFont val="DejaVu Sans"/>
        <family val="2"/>
      </rPr>
      <t xml:space="preserve">장비 일람표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배관길이 테이블</t>
    </r>
  </si>
  <si>
    <r>
      <rPr>
        <sz val="10"/>
        <rFont val="맑은 고딕"/>
        <family val="0"/>
        <charset val="1"/>
      </rPr>
      <t xml:space="preserve">21</t>
    </r>
    <r>
      <rPr>
        <sz val="10"/>
        <rFont val="DejaVu Sans"/>
        <family val="2"/>
      </rPr>
      <t xml:space="preserve">컬럼 장비 일람표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배관길이 테이블 구현</t>
    </r>
  </si>
  <si>
    <r>
      <rPr>
        <sz val="10"/>
        <rFont val="DejaVu Sans"/>
        <family val="2"/>
      </rPr>
      <t xml:space="preserve">결과 필터링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정렬 기능</t>
    </r>
  </si>
  <si>
    <r>
      <rPr>
        <sz val="10"/>
        <rFont val="DejaVu Sans"/>
        <family val="2"/>
      </rPr>
      <t xml:space="preserve">검도 결과 필터링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정렬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검색 기능</t>
    </r>
  </si>
  <si>
    <r>
      <rPr>
        <sz val="10"/>
        <rFont val="DejaVu Sans"/>
        <family val="2"/>
      </rPr>
      <t xml:space="preserve">검도 결과 상세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테이블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</si>
  <si>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분류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시스템 필터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정렬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검색 기능 구현</t>
    </r>
  </si>
  <si>
    <t xml:space="preserve">결과 요약 차트 표시</t>
  </si>
  <si>
    <r>
      <rPr>
        <sz val="10"/>
        <rFont val="DejaVu Sans"/>
        <family val="2"/>
      </rPr>
      <t xml:space="preserve">검도 결과 차트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그래프 시각화 표시</t>
    </r>
  </si>
  <si>
    <t xml:space="preserve">검도 결과 요약 카드</t>
  </si>
  <si>
    <r>
      <rPr>
        <sz val="10"/>
        <rFont val="DejaVu Sans"/>
        <family val="2"/>
      </rPr>
      <t xml:space="preserve">수치 요약은 있으나 차트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그래프 시각화 미구현</t>
    </r>
  </si>
  <si>
    <r>
      <rPr>
        <sz val="10"/>
        <rFont val="DejaVu Sans"/>
        <family val="2"/>
      </rPr>
      <t xml:space="preserve">검도 결과 종합 대시보드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추가처리 </t>
    </r>
    <r>
      <rPr>
        <sz val="10"/>
        <rFont val="맑은 고딕"/>
        <family val="0"/>
        <charset val="1"/>
      </rPr>
      <t xml:space="preserve">5</t>
    </r>
  </si>
  <si>
    <r>
      <rPr>
        <sz val="10"/>
        <rFont val="맑은 고딕"/>
        <family val="0"/>
        <charset val="1"/>
      </rPr>
      <t xml:space="preserve">PASS/WARN/FAIL </t>
    </r>
    <r>
      <rPr>
        <sz val="10"/>
        <rFont val="DejaVu Sans"/>
        <family val="2"/>
      </rPr>
      <t xml:space="preserve">상태별 검수 결과 종합 현황 화면 추가처리 </t>
    </r>
    <r>
      <rPr>
        <sz val="10"/>
        <rFont val="맑은 고딕"/>
        <family val="0"/>
        <charset val="1"/>
      </rPr>
      <t xml:space="preserve">5</t>
    </r>
  </si>
  <si>
    <t xml:space="preserve">검도 결과 상세</t>
  </si>
  <si>
    <r>
      <rPr>
        <sz val="10"/>
        <rFont val="DejaVu Sans"/>
        <family val="2"/>
      </rPr>
      <t xml:space="preserve">부분 구현</t>
    </r>
    <r>
      <rPr>
        <sz val="10"/>
        <rFont val="맑은 고딕"/>
        <family val="0"/>
        <charset val="1"/>
      </rPr>
      <t xml:space="preserve">, PASS/WARN/FAIL </t>
    </r>
    <r>
      <rPr>
        <sz val="10"/>
        <rFont val="DejaVu Sans"/>
        <family val="2"/>
      </rPr>
      <t xml:space="preserve">시각화 보강 필요</t>
    </r>
  </si>
  <si>
    <t xml:space="preserve">배관 검도 결과 상세 화면</t>
  </si>
  <si>
    <r>
      <rPr>
        <sz val="10"/>
        <rFont val="DejaVu Sans"/>
        <family val="2"/>
      </rPr>
      <t xml:space="preserve">배관 길이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분류 결과 상세 테이블 조회</t>
    </r>
  </si>
  <si>
    <r>
      <rPr>
        <sz val="10"/>
        <rFont val="DejaVu Sans"/>
        <family val="2"/>
      </rPr>
      <t xml:space="preserve">검도 결과 상세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배관길이 산출 탭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</si>
  <si>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시스템 </t>
    </r>
    <r>
      <rPr>
        <sz val="10"/>
        <rFont val="맑은 고딕"/>
        <family val="0"/>
        <charset val="1"/>
      </rPr>
      <t xml:space="preserve">ID/</t>
    </r>
    <r>
      <rPr>
        <sz val="10"/>
        <rFont val="DejaVu Sans"/>
        <family val="2"/>
      </rPr>
      <t xml:space="preserve">주배관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평면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수직층고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총합 길이 테이블 구현</t>
    </r>
  </si>
  <si>
    <t xml:space="preserve">오류 결과 상세 표시</t>
  </si>
  <si>
    <t xml:space="preserve">배관 오류 결과 항목별 상세 표시</t>
  </si>
  <si>
    <r>
      <rPr>
        <sz val="10"/>
        <rFont val="DejaVu Sans"/>
        <family val="2"/>
      </rPr>
      <t xml:space="preserve">배관 오류 항목별 하이라이트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상세 표시 미구현</t>
    </r>
  </si>
  <si>
    <t xml:space="preserve">이미지 레이어 토글 기능</t>
  </si>
  <si>
    <t xml:space="preserve">결과 이미지 레이어 개별 토글 표시 기능</t>
  </si>
  <si>
    <r>
      <rPr>
        <sz val="10"/>
        <rFont val="DejaVu Sans"/>
        <family val="2"/>
      </rPr>
      <t xml:space="preserve">방 검출 결과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레이어 컨트롤</t>
    </r>
    <r>
      <rPr>
        <sz val="10"/>
        <rFont val="맑은 고딕"/>
        <family val="0"/>
        <charset val="1"/>
      </rPr>
      <t xml:space="preserve">)</t>
    </r>
  </si>
  <si>
    <t xml:space="preserve">레이어 토글 컨트롤 구현</t>
  </si>
  <si>
    <t xml:space="preserve">결과 데이터 다운로드 기능</t>
  </si>
  <si>
    <t xml:space="preserve">배관 검도 결과 데이터 다운로드 기능</t>
  </si>
  <si>
    <r>
      <rPr>
        <sz val="10"/>
        <rFont val="DejaVu Sans"/>
        <family val="2"/>
      </rPr>
      <t xml:space="preserve">검도 결과 상세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배관길이 다운로드 버튼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</si>
  <si>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Excel </t>
    </r>
    <r>
      <rPr>
        <sz val="10"/>
        <rFont val="DejaVu Sans"/>
        <family val="2"/>
      </rPr>
      <t xml:space="preserve">다운로드 버튼 구현</t>
    </r>
  </si>
  <si>
    <r>
      <rPr>
        <sz val="10"/>
        <rFont val="DejaVu Sans"/>
        <family val="2"/>
      </rPr>
      <t xml:space="preserve">배관 검도 결과 상세 화면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추가처리 </t>
    </r>
    <r>
      <rPr>
        <sz val="10"/>
        <rFont val="맑은 고딕"/>
        <family val="0"/>
        <charset val="1"/>
      </rPr>
      <t xml:space="preserve">5</t>
    </r>
  </si>
  <si>
    <r>
      <rPr>
        <sz val="10"/>
        <rFont val="DejaVu Sans"/>
        <family val="2"/>
      </rPr>
      <t xml:space="preserve">배관 길이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분류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오류 결과 상세 조회 및 이미지 레이어 토글 추가처리 </t>
    </r>
    <r>
      <rPr>
        <sz val="10"/>
        <rFont val="맑은 고딕"/>
        <family val="0"/>
        <charset val="1"/>
      </rPr>
      <t xml:space="preserve">5</t>
    </r>
  </si>
  <si>
    <r>
      <rPr>
        <sz val="10"/>
        <rFont val="DejaVu Sans"/>
        <family val="2"/>
      </rPr>
      <t xml:space="preserve">검도 결과 상세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배관길이 탭</t>
    </r>
    <r>
      <rPr>
        <sz val="10"/>
        <rFont val="맑은 고딕"/>
        <family val="0"/>
        <charset val="1"/>
      </rPr>
      <t xml:space="preserve">)</t>
    </r>
  </si>
  <si>
    <t xml:space="preserve">구현 완료</t>
  </si>
  <si>
    <t xml:space="preserve">장비일람표 검도 결과 화면</t>
  </si>
  <si>
    <t xml:space="preserve">장비일람표 추출 결과 테이블 조회</t>
  </si>
  <si>
    <r>
      <rPr>
        <sz val="10"/>
        <rFont val="DejaVu Sans"/>
        <family val="2"/>
      </rPr>
      <t xml:space="preserve">검도 결과 상세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하단 테이블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장비 일람표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</si>
  <si>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21</t>
    </r>
    <r>
      <rPr>
        <sz val="10"/>
        <rFont val="DejaVu Sans"/>
        <family val="2"/>
      </rPr>
      <t xml:space="preserve">컬럼 장비 일람표 테이블 구현</t>
    </r>
  </si>
  <si>
    <t xml:space="preserve">정합성 검증 결과 표시</t>
  </si>
  <si>
    <t xml:space="preserve">장비일람표 정합성 검증 결과 상세 표시</t>
  </si>
  <si>
    <r>
      <rPr>
        <sz val="10"/>
        <rFont val="DejaVu Sans"/>
        <family val="2"/>
      </rPr>
      <t xml:space="preserve">정합성 검증 결과 표시 영역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정합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불일치 항목 하이라이트</t>
    </r>
    <r>
      <rPr>
        <sz val="10"/>
        <rFont val="맑은 고딕"/>
        <family val="0"/>
        <charset val="1"/>
      </rPr>
      <t xml:space="preserve">) </t>
    </r>
    <r>
      <rPr>
        <sz val="10"/>
        <rFont val="DejaVu Sans"/>
        <family val="2"/>
      </rPr>
      <t xml:space="preserve">미구현</t>
    </r>
  </si>
  <si>
    <t xml:space="preserve">검도 결과 편집 기능</t>
  </si>
  <si>
    <r>
      <rPr>
        <sz val="10"/>
        <rFont val="DejaVu Sans"/>
        <family val="2"/>
      </rPr>
      <t xml:space="preserve">검도 결과 사용자 편집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보정 기능</t>
    </r>
  </si>
  <si>
    <r>
      <rPr>
        <sz val="10"/>
        <rFont val="DejaVu Sans"/>
        <family val="2"/>
      </rPr>
      <t xml:space="preserve">검도 결과 인라인 편집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보정 기능 미구현</t>
    </r>
  </si>
  <si>
    <t xml:space="preserve">결과 엑셀 다운로드</t>
  </si>
  <si>
    <t xml:space="preserve">검도 결과 엑셀 다운로드 기능</t>
  </si>
  <si>
    <r>
      <rPr>
        <sz val="10"/>
        <rFont val="DejaVu Sans"/>
        <family val="2"/>
      </rPr>
      <t xml:space="preserve">장비일람표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배관길이 </t>
    </r>
    <r>
      <rPr>
        <sz val="10"/>
        <rFont val="맑은 고딕"/>
        <family val="0"/>
        <charset val="1"/>
      </rPr>
      <t xml:space="preserve">Excel </t>
    </r>
    <r>
      <rPr>
        <sz val="10"/>
        <rFont val="DejaVu Sans"/>
        <family val="2"/>
      </rPr>
      <t xml:space="preserve">다운로드</t>
    </r>
  </si>
  <si>
    <r>
      <rPr>
        <sz val="10"/>
        <rFont val="DejaVu Sans"/>
        <family val="2"/>
      </rPr>
      <t xml:space="preserve">장비일람표 검도 결과 화면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추가처리 </t>
    </r>
    <r>
      <rPr>
        <sz val="10"/>
        <rFont val="맑은 고딕"/>
        <family val="0"/>
        <charset val="1"/>
      </rPr>
      <t xml:space="preserve">5</t>
    </r>
  </si>
  <si>
    <r>
      <rPr>
        <sz val="10"/>
        <rFont val="DejaVu Sans"/>
        <family val="2"/>
      </rPr>
      <t xml:space="preserve">장비일람표 추출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정합성 검증 결과 테이블 조회 화면 추가처리 </t>
    </r>
    <r>
      <rPr>
        <sz val="10"/>
        <rFont val="맑은 고딕"/>
        <family val="0"/>
        <charset val="1"/>
      </rPr>
      <t xml:space="preserve">5</t>
    </r>
  </si>
  <si>
    <t xml:space="preserve">장비 일람표 화면</t>
  </si>
  <si>
    <r>
      <rPr>
        <sz val="10"/>
        <rFont val="DejaVu Sans"/>
        <family val="2"/>
      </rPr>
      <t xml:space="preserve">테이블 조회는 구현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정합성 검증 결과 표시 보강 필요</t>
    </r>
  </si>
  <si>
    <t xml:space="preserve">공간 면적 결과 시각화 화면</t>
  </si>
  <si>
    <r>
      <rPr>
        <sz val="10"/>
        <rFont val="DejaVu Sans"/>
        <family val="2"/>
      </rPr>
      <t xml:space="preserve">공간 구획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면적 결과 도면 오버레이 표시</t>
    </r>
  </si>
  <si>
    <r>
      <rPr>
        <sz val="10"/>
        <rFont val="DejaVu Sans"/>
        <family val="2"/>
      </rPr>
      <t xml:space="preserve">방 검출 결과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도면 오버레이</t>
    </r>
    <r>
      <rPr>
        <sz val="10"/>
        <rFont val="맑은 고딕"/>
        <family val="0"/>
        <charset val="1"/>
      </rPr>
      <t xml:space="preserve">)</t>
    </r>
  </si>
  <si>
    <t xml:space="preserve">방 검출 결과 도면 오버레이 시각화 구현</t>
  </si>
  <si>
    <t xml:space="preserve">레이어 토글 및 상세 조회</t>
  </si>
  <si>
    <t xml:space="preserve">공간별 레이어 토글 및 면적 상세 조회</t>
  </si>
  <si>
    <r>
      <rPr>
        <sz val="10"/>
        <rFont val="DejaVu Sans"/>
        <family val="2"/>
      </rPr>
      <t xml:space="preserve">레이어 토글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우측 패널 상세 조회 구현</t>
    </r>
  </si>
  <si>
    <t xml:space="preserve">면적 결과 테이블 표시</t>
  </si>
  <si>
    <t xml:space="preserve">공간별 면적 결과 테이블 및 통계 표시</t>
  </si>
  <si>
    <r>
      <rPr>
        <sz val="10"/>
        <rFont val="DejaVu Sans"/>
        <family val="2"/>
      </rPr>
      <t xml:space="preserve">방 검출 결과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우측 패널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</si>
  <si>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선택 방 면적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냉방부하 표시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전체 공간 테이블 미구현</t>
    </r>
  </si>
  <si>
    <t xml:space="preserve">면적 결과 다운로드 기능</t>
  </si>
  <si>
    <t xml:space="preserve">공간 면적 결과 데이터 다운로드 기능</t>
  </si>
  <si>
    <r>
      <rPr>
        <sz val="10"/>
        <rFont val="DejaVu Sans"/>
        <family val="2"/>
      </rPr>
      <t xml:space="preserve">방 검출 결과 </t>
    </r>
    <r>
      <rPr>
        <sz val="10"/>
        <rFont val="맑은 고딕"/>
        <family val="0"/>
        <charset val="1"/>
      </rPr>
      <t xml:space="preserve">(DXF </t>
    </r>
    <r>
      <rPr>
        <sz val="10"/>
        <rFont val="DejaVu Sans"/>
        <family val="2"/>
      </rPr>
      <t xml:space="preserve">다운로드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</si>
  <si>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DXF </t>
    </r>
    <r>
      <rPr>
        <sz val="10"/>
        <rFont val="DejaVu Sans"/>
        <family val="2"/>
      </rPr>
      <t xml:space="preserve">다운로드는 있으나 면적 데이터 </t>
    </r>
    <r>
      <rPr>
        <sz val="10"/>
        <rFont val="맑은 고딕"/>
        <family val="0"/>
        <charset val="1"/>
      </rPr>
      <t xml:space="preserve">Excel </t>
    </r>
    <r>
      <rPr>
        <sz val="10"/>
        <rFont val="DejaVu Sans"/>
        <family val="2"/>
      </rPr>
      <t xml:space="preserve">다운로드 미구현</t>
    </r>
  </si>
  <si>
    <r>
      <rPr>
        <sz val="10"/>
        <rFont val="DejaVu Sans"/>
        <family val="2"/>
      </rPr>
      <t xml:space="preserve">공간 면적 결과 시각화 화면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추가처리 </t>
    </r>
    <r>
      <rPr>
        <sz val="10"/>
        <rFont val="맑은 고딕"/>
        <family val="0"/>
        <charset val="1"/>
      </rPr>
      <t xml:space="preserve">5</t>
    </r>
  </si>
  <si>
    <r>
      <rPr>
        <sz val="10"/>
        <rFont val="DejaVu Sans"/>
        <family val="2"/>
      </rPr>
      <t xml:space="preserve">공간 구획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면적 결과 이미지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레이어 토글 화면 추가처리 </t>
    </r>
    <r>
      <rPr>
        <sz val="10"/>
        <rFont val="맑은 고딕"/>
        <family val="0"/>
        <charset val="1"/>
      </rPr>
      <t xml:space="preserve">5</t>
    </r>
  </si>
  <si>
    <t xml:space="preserve">방 검출 결과</t>
  </si>
  <si>
    <t xml:space="preserve">실내외기 배치 결과 화면</t>
  </si>
  <si>
    <t xml:space="preserve">실외기별 배관 비교 결과 화면</t>
  </si>
  <si>
    <r>
      <rPr>
        <sz val="10"/>
        <rFont val="DejaVu Sans"/>
        <family val="2"/>
      </rPr>
      <t xml:space="preserve">방 검출 결과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우측 패널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실외기 탭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</si>
  <si>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실외기 </t>
    </r>
    <r>
      <rPr>
        <sz val="10"/>
        <rFont val="맑은 고딕"/>
        <family val="0"/>
        <charset val="1"/>
      </rPr>
      <t xml:space="preserve">3</t>
    </r>
    <r>
      <rPr>
        <sz val="10"/>
        <rFont val="DejaVu Sans"/>
        <family val="2"/>
      </rPr>
      <t xml:space="preserve">대 배치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모델별 비교 화면 구현</t>
    </r>
  </si>
  <si>
    <t xml:space="preserve">장비 배치 결과 도면 표시</t>
  </si>
  <si>
    <t xml:space="preserve">장비 배치 위치 도면 오버레이 표시</t>
  </si>
  <si>
    <t xml:space="preserve">장비 배치 도면 오버레이 구현</t>
  </si>
  <si>
    <t xml:space="preserve">배치 상세 정보 조회</t>
  </si>
  <si>
    <r>
      <rPr>
        <sz val="10"/>
        <rFont val="DejaVu Sans"/>
        <family val="2"/>
      </rPr>
      <t xml:space="preserve">배치된 장비 상세 스펙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위치 정보 조회</t>
    </r>
  </si>
  <si>
    <r>
      <rPr>
        <sz val="10"/>
        <rFont val="DejaVu Sans"/>
        <family val="2"/>
      </rPr>
      <t xml:space="preserve">방 검출 결과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실외기 모델 카드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</si>
  <si>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LG ARUN060/080/100 GSS5 </t>
    </r>
    <r>
      <rPr>
        <sz val="10"/>
        <rFont val="DejaVu Sans"/>
        <family val="2"/>
      </rPr>
      <t xml:space="preserve">모델 카드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냉방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난방</t>
    </r>
    <r>
      <rPr>
        <sz val="10"/>
        <rFont val="맑은 고딕"/>
        <family val="0"/>
        <charset val="1"/>
      </rPr>
      <t xml:space="preserve">/COP/</t>
    </r>
    <r>
      <rPr>
        <sz val="10"/>
        <rFont val="DejaVu Sans"/>
        <family val="2"/>
      </rPr>
      <t xml:space="preserve">소음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냉매</t>
    </r>
    <r>
      <rPr>
        <sz val="10"/>
        <rFont val="맑은 고딕"/>
        <family val="0"/>
        <charset val="1"/>
      </rPr>
      <t xml:space="preserve">) </t>
    </r>
    <r>
      <rPr>
        <sz val="10"/>
        <rFont val="DejaVu Sans"/>
        <family val="2"/>
      </rPr>
      <t xml:space="preserve">구현</t>
    </r>
  </si>
  <si>
    <t xml:space="preserve">배치 결과 다운로드 기능</t>
  </si>
  <si>
    <t xml:space="preserve">장비 배치 결과 데이터 다운로드 기능</t>
  </si>
  <si>
    <r>
      <rPr>
        <sz val="10"/>
        <rFont val="맑은 고딕"/>
        <family val="0"/>
        <charset val="1"/>
      </rPr>
      <t xml:space="preserve">DXF </t>
    </r>
    <r>
      <rPr>
        <sz val="10"/>
        <rFont val="DejaVu Sans"/>
        <family val="2"/>
      </rPr>
      <t xml:space="preserve">다운로드 구현</t>
    </r>
  </si>
  <si>
    <r>
      <rPr>
        <sz val="10"/>
        <rFont val="DejaVu Sans"/>
        <family val="2"/>
      </rPr>
      <t xml:space="preserve">실내외기 배치 결과 화면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추가처리 </t>
    </r>
    <r>
      <rPr>
        <sz val="10"/>
        <rFont val="맑은 고딕"/>
        <family val="0"/>
        <charset val="1"/>
      </rPr>
      <t xml:space="preserve">5</t>
    </r>
  </si>
  <si>
    <r>
      <rPr>
        <sz val="10"/>
        <rFont val="DejaVu Sans"/>
        <family val="2"/>
      </rPr>
      <t xml:space="preserve">실외기별 배관 비교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장비 배치 결과 조회 화면 추가처리 </t>
    </r>
    <r>
      <rPr>
        <sz val="10"/>
        <rFont val="맑은 고딕"/>
        <family val="0"/>
        <charset val="1"/>
      </rPr>
      <t xml:space="preserve">5</t>
    </r>
  </si>
  <si>
    <r>
      <rPr>
        <sz val="10"/>
        <rFont val="DejaVu Sans"/>
        <family val="2"/>
      </rPr>
      <t xml:space="preserve">면적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길이 결과 테이블 화면</t>
    </r>
  </si>
  <si>
    <r>
      <rPr>
        <sz val="10"/>
        <rFont val="DejaVu Sans"/>
        <family val="2"/>
      </rPr>
      <t xml:space="preserve">면적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배관길이 결과 테이블 표시</t>
    </r>
  </si>
  <si>
    <t xml:space="preserve">배관길이 테이블</t>
  </si>
  <si>
    <t xml:space="preserve">배관길이 결과 테이블 구현</t>
  </si>
  <si>
    <t xml:space="preserve">통계 요약 화면</t>
  </si>
  <si>
    <r>
      <rPr>
        <sz val="10"/>
        <rFont val="DejaVu Sans"/>
        <family val="2"/>
      </rPr>
      <t xml:space="preserve">면적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길이 통계 요약 및 차트 표시</t>
    </r>
  </si>
  <si>
    <t xml:space="preserve">수치 요약은 있으나 차트 시각화 미구현</t>
  </si>
  <si>
    <r>
      <rPr>
        <sz val="10"/>
        <rFont val="DejaVu Sans"/>
        <family val="2"/>
      </rPr>
      <t xml:space="preserve">결과 테이블 필터링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정렬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검색 기능</t>
    </r>
  </si>
  <si>
    <r>
      <rPr>
        <sz val="10"/>
        <rFont val="DejaVu Sans"/>
        <family val="2"/>
      </rPr>
      <t xml:space="preserve">필터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정렬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검색 구현</t>
    </r>
  </si>
  <si>
    <t xml:space="preserve">결과 다운로드 기능</t>
  </si>
  <si>
    <r>
      <rPr>
        <sz val="10"/>
        <rFont val="DejaVu Sans"/>
        <family val="2"/>
      </rPr>
      <t xml:space="preserve">테이블 결과 엑셀</t>
    </r>
    <r>
      <rPr>
        <sz val="10"/>
        <rFont val="맑은 고딕"/>
        <family val="0"/>
        <charset val="1"/>
      </rPr>
      <t xml:space="preserve">/CSV </t>
    </r>
    <r>
      <rPr>
        <sz val="10"/>
        <rFont val="DejaVu Sans"/>
        <family val="2"/>
      </rPr>
      <t xml:space="preserve">다운로드 기능</t>
    </r>
  </si>
  <si>
    <r>
      <rPr>
        <sz val="10"/>
        <rFont val="DejaVu Sans"/>
        <family val="2"/>
      </rPr>
      <t xml:space="preserve">검도 결과 상세 </t>
    </r>
    <r>
      <rPr>
        <sz val="10"/>
        <rFont val="맑은 고딕"/>
        <family val="0"/>
        <charset val="1"/>
      </rPr>
      <t xml:space="preserve">(Excel </t>
    </r>
    <r>
      <rPr>
        <sz val="10"/>
        <rFont val="DejaVu Sans"/>
        <family val="2"/>
      </rPr>
      <t xml:space="preserve">다운로드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</si>
  <si>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Excel </t>
    </r>
    <r>
      <rPr>
        <sz val="10"/>
        <rFont val="DejaVu Sans"/>
        <family val="2"/>
      </rPr>
      <t xml:space="preserve">다운로드 구현 </t>
    </r>
    <r>
      <rPr>
        <sz val="10"/>
        <rFont val="맑은 고딕"/>
        <family val="0"/>
        <charset val="1"/>
      </rPr>
      <t xml:space="preserve">(CSV</t>
    </r>
    <r>
      <rPr>
        <sz val="10"/>
        <rFont val="DejaVu Sans"/>
        <family val="2"/>
      </rPr>
      <t xml:space="preserve">는 미확인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</si>
  <si>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면적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길이 결과 테이블 화면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추가처리 </t>
    </r>
    <r>
      <rPr>
        <sz val="10"/>
        <rFont val="맑은 고딕"/>
        <family val="0"/>
        <charset val="1"/>
      </rPr>
      <t xml:space="preserve">5</t>
    </r>
  </si>
  <si>
    <r>
      <rPr>
        <sz val="10"/>
        <rFont val="DejaVu Sans"/>
        <family val="2"/>
      </rPr>
      <t xml:space="preserve">면적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배관길이 정량 결과 테이블 및 통계 화면 추가처리 </t>
    </r>
    <r>
      <rPr>
        <sz val="10"/>
        <rFont val="맑은 고딕"/>
        <family val="0"/>
        <charset val="1"/>
      </rPr>
      <t xml:space="preserve">5</t>
    </r>
  </si>
  <si>
    <r>
      <rPr>
        <sz val="10"/>
        <rFont val="DejaVu Sans"/>
        <family val="2"/>
      </rPr>
      <t xml:space="preserve">테이블은 구현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통계 차트 보강 필요</t>
    </r>
  </si>
  <si>
    <r>
      <rPr>
        <sz val="10"/>
        <rFont val="DejaVu Sans"/>
        <family val="2"/>
      </rPr>
      <t xml:space="preserve">사용자 검토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수정</t>
    </r>
  </si>
  <si>
    <r>
      <rPr>
        <sz val="10"/>
        <rFont val="DejaVu Sans"/>
        <family val="2"/>
      </rPr>
      <t xml:space="preserve">검토 </t>
    </r>
    <r>
      <rPr>
        <sz val="10"/>
        <rFont val="맑은 고딕"/>
        <family val="0"/>
        <charset val="1"/>
      </rPr>
      <t xml:space="preserve">UI</t>
    </r>
  </si>
  <si>
    <r>
      <rPr>
        <sz val="10"/>
        <rFont val="DejaVu Sans"/>
        <family val="2"/>
      </rPr>
      <t xml:space="preserve">사용자 확인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보정 인터페이스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</si>
  <si>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결과 항목별 확인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수정 입력 </t>
    </r>
    <r>
      <rPr>
        <sz val="10"/>
        <rFont val="맑은 고딕"/>
        <family val="0"/>
        <charset val="1"/>
      </rPr>
      <t xml:space="preserve">UI</t>
    </r>
  </si>
  <si>
    <t xml:space="preserve">검토 화면</t>
  </si>
  <si>
    <r>
      <rPr>
        <sz val="10"/>
        <rFont val="DejaVu Sans"/>
        <family val="2"/>
      </rPr>
      <t xml:space="preserve">방 검출 결과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모델 적용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취소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</si>
  <si>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모델 적용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취소 액션은 있으나 항목별 인라인 수정 </t>
    </r>
    <r>
      <rPr>
        <sz val="10"/>
        <rFont val="맑은 고딕"/>
        <family val="0"/>
        <charset val="1"/>
      </rPr>
      <t xml:space="preserve">UI </t>
    </r>
    <r>
      <rPr>
        <sz val="10"/>
        <rFont val="DejaVu Sans"/>
        <family val="2"/>
      </rPr>
      <t xml:space="preserve">미구현</t>
    </r>
  </si>
  <si>
    <r>
      <rPr>
        <sz val="10"/>
        <rFont val="DejaVu Sans"/>
        <family val="2"/>
      </rPr>
      <t xml:space="preserve">보정 이력 표시 </t>
    </r>
    <r>
      <rPr>
        <sz val="10"/>
        <rFont val="맑은 고딕"/>
        <family val="0"/>
        <charset val="1"/>
      </rPr>
      <t xml:space="preserve">UI</t>
    </r>
  </si>
  <si>
    <r>
      <rPr>
        <sz val="10"/>
        <rFont val="DejaVu Sans"/>
        <family val="2"/>
      </rPr>
      <t xml:space="preserve">사용자 보정 이력 표시 및 비교 </t>
    </r>
    <r>
      <rPr>
        <sz val="10"/>
        <rFont val="맑은 고딕"/>
        <family val="0"/>
        <charset val="1"/>
      </rPr>
      <t xml:space="preserve">UI</t>
    </r>
  </si>
  <si>
    <r>
      <rPr>
        <sz val="10"/>
        <rFont val="DejaVu Sans"/>
        <family val="2"/>
      </rPr>
      <t xml:space="preserve">보정 이력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비교 </t>
    </r>
    <r>
      <rPr>
        <sz val="10"/>
        <rFont val="맑은 고딕"/>
        <family val="0"/>
        <charset val="1"/>
      </rPr>
      <t xml:space="preserve">UI </t>
    </r>
    <r>
      <rPr>
        <sz val="10"/>
        <rFont val="DejaVu Sans"/>
        <family val="2"/>
      </rPr>
      <t xml:space="preserve">미구현</t>
    </r>
  </si>
  <si>
    <t xml:space="preserve">보정 데이터 저장 처리</t>
  </si>
  <si>
    <t xml:space="preserve">사용자 보정 데이터 저장 처리</t>
  </si>
  <si>
    <r>
      <rPr>
        <sz val="10"/>
        <rFont val="DejaVu Sans"/>
        <family val="2"/>
      </rPr>
      <t xml:space="preserve">보정 결과 </t>
    </r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피드백 연동</t>
    </r>
  </si>
  <si>
    <r>
      <rPr>
        <sz val="10"/>
        <rFont val="DejaVu Sans"/>
        <family val="2"/>
      </rPr>
      <t xml:space="preserve">보정 데이터 </t>
    </r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학습 피드백 연동</t>
    </r>
  </si>
  <si>
    <r>
      <rPr>
        <sz val="10"/>
        <rFont val="DejaVu Sans"/>
        <family val="2"/>
      </rPr>
      <t xml:space="preserve">사용자 확인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보정 인터페이스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추가처리 </t>
    </r>
    <r>
      <rPr>
        <sz val="10"/>
        <rFont val="맑은 고딕"/>
        <family val="0"/>
        <charset val="1"/>
      </rPr>
      <t xml:space="preserve">5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</si>
  <si>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결과에 대한 사용자 확인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보정 입력 화면 추가처리 </t>
    </r>
    <r>
      <rPr>
        <sz val="10"/>
        <rFont val="맑은 고딕"/>
        <family val="0"/>
        <charset val="1"/>
      </rPr>
      <t xml:space="preserve">5</t>
    </r>
  </si>
  <si>
    <t xml:space="preserve">방 검출 결과 패널</t>
  </si>
  <si>
    <r>
      <rPr>
        <sz val="10"/>
        <rFont val="DejaVu Sans"/>
        <family val="2"/>
      </rPr>
      <t xml:space="preserve">실외기 구역 선택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편집 </t>
    </r>
    <r>
      <rPr>
        <sz val="10"/>
        <rFont val="맑은 고딕"/>
        <family val="0"/>
        <charset val="1"/>
      </rPr>
      <t xml:space="preserve">UI</t>
    </r>
  </si>
  <si>
    <r>
      <rPr>
        <sz val="10"/>
        <rFont val="DejaVu Sans"/>
        <family val="2"/>
      </rPr>
      <t xml:space="preserve">도면 위 실외기 구역 그리기 도구 </t>
    </r>
    <r>
      <rPr>
        <sz val="10"/>
        <rFont val="맑은 고딕"/>
        <family val="0"/>
        <charset val="1"/>
      </rPr>
      <t xml:space="preserve">UI</t>
    </r>
  </si>
  <si>
    <r>
      <rPr>
        <sz val="10"/>
        <rFont val="DejaVu Sans"/>
        <family val="2"/>
      </rPr>
      <t xml:space="preserve">방 검출 결과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실외기 영역 하이라이트</t>
    </r>
    <r>
      <rPr>
        <sz val="10"/>
        <rFont val="맑은 고딕"/>
        <family val="0"/>
        <charset val="1"/>
      </rPr>
      <t xml:space="preserve">)</t>
    </r>
  </si>
  <si>
    <t xml:space="preserve">영역 표시는 있으나 사용자 그리기 도구 미구현</t>
  </si>
  <si>
    <r>
      <rPr>
        <sz val="10"/>
        <rFont val="DejaVu Sans"/>
        <family val="2"/>
      </rPr>
      <t xml:space="preserve">구역 이동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크기조정 </t>
    </r>
    <r>
      <rPr>
        <sz val="10"/>
        <rFont val="맑은 고딕"/>
        <family val="0"/>
        <charset val="1"/>
      </rPr>
      <t xml:space="preserve">UI</t>
    </r>
  </si>
  <si>
    <r>
      <rPr>
        <sz val="10"/>
        <rFont val="DejaVu Sans"/>
        <family val="2"/>
      </rPr>
      <t xml:space="preserve">지정 구역 드래그 이동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크기 조정 </t>
    </r>
    <r>
      <rPr>
        <sz val="10"/>
        <rFont val="맑은 고딕"/>
        <family val="0"/>
        <charset val="1"/>
      </rPr>
      <t xml:space="preserve">UI</t>
    </r>
  </si>
  <si>
    <r>
      <rPr>
        <sz val="10"/>
        <rFont val="DejaVu Sans"/>
        <family val="2"/>
      </rPr>
      <t xml:space="preserve">구역 드래그 이동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크기 조정 핸들 </t>
    </r>
    <r>
      <rPr>
        <sz val="10"/>
        <rFont val="맑은 고딕"/>
        <family val="0"/>
        <charset val="1"/>
      </rPr>
      <t xml:space="preserve">UI </t>
    </r>
    <r>
      <rPr>
        <sz val="10"/>
        <rFont val="DejaVu Sans"/>
        <family val="2"/>
      </rPr>
      <t xml:space="preserve">미구현</t>
    </r>
  </si>
  <si>
    <t xml:space="preserve">구역 데이터 저장 처리</t>
  </si>
  <si>
    <t xml:space="preserve">편집된 구역 좌표 데이터 저장 처리</t>
  </si>
  <si>
    <t xml:space="preserve">구역 편집 이력 관리</t>
  </si>
  <si>
    <r>
      <rPr>
        <sz val="10"/>
        <rFont val="DejaVu Sans"/>
        <family val="2"/>
      </rPr>
      <t xml:space="preserve">구역 편집 </t>
    </r>
    <r>
      <rPr>
        <sz val="10"/>
        <rFont val="맑은 고딕"/>
        <family val="0"/>
        <charset val="1"/>
      </rPr>
      <t xml:space="preserve">Undo/Redo </t>
    </r>
    <r>
      <rPr>
        <sz val="10"/>
        <rFont val="DejaVu Sans"/>
        <family val="2"/>
      </rPr>
      <t xml:space="preserve">및 이력 관리</t>
    </r>
  </si>
  <si>
    <r>
      <rPr>
        <sz val="10"/>
        <rFont val="맑은 고딕"/>
        <family val="0"/>
        <charset val="1"/>
      </rPr>
      <t xml:space="preserve">Undo/Redo </t>
    </r>
    <r>
      <rPr>
        <sz val="10"/>
        <rFont val="DejaVu Sans"/>
        <family val="2"/>
      </rPr>
      <t xml:space="preserve">컨트롤 미구현</t>
    </r>
  </si>
  <si>
    <r>
      <rPr>
        <sz val="10"/>
        <rFont val="DejaVu Sans"/>
        <family val="2"/>
      </rPr>
      <t xml:space="preserve">실외기 구역 선택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편집 </t>
    </r>
    <r>
      <rPr>
        <sz val="10"/>
        <rFont val="맑은 고딕"/>
        <family val="0"/>
        <charset val="1"/>
      </rPr>
      <t xml:space="preserve">UI - </t>
    </r>
    <r>
      <rPr>
        <sz val="10"/>
        <rFont val="DejaVu Sans"/>
        <family val="2"/>
      </rPr>
      <t xml:space="preserve">추가처리 </t>
    </r>
    <r>
      <rPr>
        <sz val="10"/>
        <rFont val="맑은 고딕"/>
        <family val="0"/>
        <charset val="1"/>
      </rPr>
      <t xml:space="preserve">5</t>
    </r>
  </si>
  <si>
    <r>
      <rPr>
        <sz val="10"/>
        <rFont val="DejaVu Sans"/>
        <family val="2"/>
      </rPr>
      <t xml:space="preserve">도면 위 실외기 설치구역 직접 지정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이동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크기조정 </t>
    </r>
    <r>
      <rPr>
        <sz val="10"/>
        <rFont val="맑은 고딕"/>
        <family val="0"/>
        <charset val="1"/>
      </rPr>
      <t xml:space="preserve">UI </t>
    </r>
    <r>
      <rPr>
        <sz val="10"/>
        <rFont val="DejaVu Sans"/>
        <family val="2"/>
      </rPr>
      <t xml:space="preserve">추가처리 </t>
    </r>
    <r>
      <rPr>
        <sz val="10"/>
        <rFont val="맑은 고딕"/>
        <family val="0"/>
        <charset val="1"/>
      </rPr>
      <t xml:space="preserve">5</t>
    </r>
  </si>
  <si>
    <r>
      <rPr>
        <sz val="10"/>
        <rFont val="DejaVu Sans"/>
        <family val="2"/>
      </rPr>
      <t xml:space="preserve">부분 구현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편집 도구 보강 필요</t>
    </r>
  </si>
  <si>
    <r>
      <rPr>
        <sz val="10"/>
        <rFont val="DejaVu Sans"/>
        <family val="2"/>
      </rPr>
      <t xml:space="preserve">설계 기준 선택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적용 화면</t>
    </r>
  </si>
  <si>
    <r>
      <rPr>
        <sz val="10"/>
        <rFont val="DejaVu Sans"/>
        <family val="2"/>
      </rPr>
      <t xml:space="preserve">프로젝트별 설계기준 목록 표시 및 선택 </t>
    </r>
    <r>
      <rPr>
        <sz val="10"/>
        <rFont val="맑은 고딕"/>
        <family val="0"/>
        <charset val="1"/>
      </rPr>
      <t xml:space="preserve">UI</t>
    </r>
  </si>
  <si>
    <t xml:space="preserve">설계 기준 관리 화면 미구현</t>
  </si>
  <si>
    <t xml:space="preserve">기준 항목 관리 화면</t>
  </si>
  <si>
    <r>
      <rPr>
        <sz val="10"/>
        <rFont val="DejaVu Sans"/>
        <family val="2"/>
      </rPr>
      <t xml:space="preserve">설계기준 항목 추가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수정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삭제 관리 화면</t>
    </r>
  </si>
  <si>
    <r>
      <rPr>
        <sz val="10"/>
        <rFont val="DejaVu Sans"/>
        <family val="2"/>
      </rPr>
      <t xml:space="preserve">설계 기준 항목 </t>
    </r>
    <r>
      <rPr>
        <sz val="10"/>
        <rFont val="맑은 고딕"/>
        <family val="0"/>
        <charset val="1"/>
      </rPr>
      <t xml:space="preserve">CRUD </t>
    </r>
    <r>
      <rPr>
        <sz val="10"/>
        <rFont val="DejaVu Sans"/>
        <family val="2"/>
      </rPr>
      <t xml:space="preserve">화면 미구현</t>
    </r>
  </si>
  <si>
    <t xml:space="preserve">기준 적용 처리</t>
  </si>
  <si>
    <t xml:space="preserve">선택된 설계기준 프로젝트에 적용 처리</t>
  </si>
  <si>
    <t xml:space="preserve">기준 적용 이력 관리</t>
  </si>
  <si>
    <t xml:space="preserve">설계기준 적용 변경 이력 관리</t>
  </si>
  <si>
    <r>
      <rPr>
        <sz val="10"/>
        <rFont val="DejaVu Sans"/>
        <family val="2"/>
      </rPr>
      <t xml:space="preserve">설계 기준 이력 관리 </t>
    </r>
    <r>
      <rPr>
        <sz val="10"/>
        <rFont val="맑은 고딕"/>
        <family val="0"/>
        <charset val="1"/>
      </rPr>
      <t xml:space="preserve">UI </t>
    </r>
    <r>
      <rPr>
        <sz val="10"/>
        <rFont val="DejaVu Sans"/>
        <family val="2"/>
      </rPr>
      <t xml:space="preserve">미구현</t>
    </r>
  </si>
  <si>
    <r>
      <rPr>
        <sz val="10"/>
        <rFont val="DejaVu Sans"/>
        <family val="2"/>
      </rPr>
      <t xml:space="preserve">설계 기준 선택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적용 화면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추가처리 </t>
    </r>
    <r>
      <rPr>
        <sz val="10"/>
        <rFont val="맑은 고딕"/>
        <family val="0"/>
        <charset val="1"/>
      </rPr>
      <t xml:space="preserve">5</t>
    </r>
  </si>
  <si>
    <r>
      <rPr>
        <sz val="10"/>
        <rFont val="DejaVu Sans"/>
        <family val="2"/>
      </rPr>
      <t xml:space="preserve">프로젝트별 설계기준 선택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항목 관리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적용 화면 추가처리 </t>
    </r>
    <r>
      <rPr>
        <sz val="10"/>
        <rFont val="맑은 고딕"/>
        <family val="0"/>
        <charset val="1"/>
      </rPr>
      <t xml:space="preserve">5</t>
    </r>
  </si>
  <si>
    <t xml:space="preserve">설계 기준 관련 화면 전반 미구현</t>
  </si>
  <si>
    <t xml:space="preserve">결과물 다운로드</t>
  </si>
  <si>
    <r>
      <rPr>
        <sz val="10"/>
        <rFont val="DejaVu Sans"/>
        <family val="2"/>
      </rPr>
      <t xml:space="preserve">다운로드 </t>
    </r>
    <r>
      <rPr>
        <sz val="10"/>
        <rFont val="맑은 고딕"/>
        <family val="0"/>
        <charset val="1"/>
      </rPr>
      <t xml:space="preserve">UI</t>
    </r>
  </si>
  <si>
    <t xml:space="preserve">결과물 다운로드 화면</t>
  </si>
  <si>
    <r>
      <rPr>
        <sz val="10"/>
        <rFont val="맑은 고딕"/>
        <family val="0"/>
        <charset val="1"/>
      </rPr>
      <t xml:space="preserve">Excel/PDF </t>
    </r>
    <r>
      <rPr>
        <sz val="10"/>
        <rFont val="DejaVu Sans"/>
        <family val="2"/>
      </rPr>
      <t xml:space="preserve">형식 선택 다운로드 </t>
    </r>
    <r>
      <rPr>
        <sz val="10"/>
        <rFont val="맑은 고딕"/>
        <family val="0"/>
        <charset val="1"/>
      </rPr>
      <t xml:space="preserve">UI</t>
    </r>
  </si>
  <si>
    <t xml:space="preserve">다운로드 화면</t>
  </si>
  <si>
    <r>
      <rPr>
        <sz val="10"/>
        <rFont val="DejaVu Sans"/>
        <family val="2"/>
      </rPr>
      <t xml:space="preserve">검도 결과 상세 </t>
    </r>
    <r>
      <rPr>
        <sz val="10"/>
        <rFont val="맑은 고딕"/>
        <family val="0"/>
        <charset val="1"/>
      </rPr>
      <t xml:space="preserve">(Excel </t>
    </r>
    <r>
      <rPr>
        <sz val="10"/>
        <rFont val="DejaVu Sans"/>
        <family val="2"/>
      </rPr>
      <t xml:space="preserve">다운로드 버튼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</si>
  <si>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Excel </t>
    </r>
    <r>
      <rPr>
        <sz val="10"/>
        <rFont val="DejaVu Sans"/>
        <family val="2"/>
      </rPr>
      <t xml:space="preserve">다운로드만 구현</t>
    </r>
    <r>
      <rPr>
        <sz val="10"/>
        <rFont val="맑은 고딕"/>
        <family val="0"/>
        <charset val="1"/>
      </rPr>
      <t xml:space="preserve">, PDF </t>
    </r>
    <r>
      <rPr>
        <sz val="10"/>
        <rFont val="DejaVu Sans"/>
        <family val="2"/>
      </rPr>
      <t xml:space="preserve">형식 선택 </t>
    </r>
    <r>
      <rPr>
        <sz val="10"/>
        <rFont val="맑은 고딕"/>
        <family val="0"/>
        <charset val="1"/>
      </rPr>
      <t xml:space="preserve">UI </t>
    </r>
    <r>
      <rPr>
        <sz val="10"/>
        <rFont val="DejaVu Sans"/>
        <family val="2"/>
      </rPr>
      <t xml:space="preserve">미구현</t>
    </r>
  </si>
  <si>
    <r>
      <rPr>
        <sz val="10"/>
        <rFont val="DejaVu Sans"/>
        <family val="2"/>
      </rPr>
      <t xml:space="preserve">검도 리포트 </t>
    </r>
    <r>
      <rPr>
        <sz val="10"/>
        <rFont val="맑은 고딕"/>
        <family val="0"/>
        <charset val="1"/>
      </rPr>
      <t xml:space="preserve">PDF </t>
    </r>
    <r>
      <rPr>
        <sz val="10"/>
        <rFont val="DejaVu Sans"/>
        <family val="2"/>
      </rPr>
      <t xml:space="preserve">생성</t>
    </r>
  </si>
  <si>
    <t xml:space="preserve">검도 판정 결과 데이터 리포트 구성</t>
  </si>
  <si>
    <r>
      <rPr>
        <sz val="10"/>
        <rFont val="맑은 고딕"/>
        <family val="0"/>
        <charset val="1"/>
      </rPr>
      <t xml:space="preserve">PDF </t>
    </r>
    <r>
      <rPr>
        <sz val="10"/>
        <rFont val="DejaVu Sans"/>
        <family val="2"/>
      </rPr>
      <t xml:space="preserve">리포트 생성 화면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기능 미구현</t>
    </r>
  </si>
  <si>
    <t xml:space="preserve">리포트 레이아웃 렌더링</t>
  </si>
  <si>
    <t xml:space="preserve">리포트 페이지 레이아웃 및 차트 렌더링</t>
  </si>
  <si>
    <t xml:space="preserve">리포트 레이아웃 디자인 미구현</t>
  </si>
  <si>
    <r>
      <rPr>
        <sz val="10"/>
        <rFont val="맑은 고딕"/>
        <family val="0"/>
        <charset val="1"/>
      </rPr>
      <t xml:space="preserve">PDF </t>
    </r>
    <r>
      <rPr>
        <sz val="10"/>
        <rFont val="DejaVu Sans"/>
        <family val="2"/>
      </rPr>
      <t xml:space="preserve">파일 생성 및 저장</t>
    </r>
  </si>
  <si>
    <r>
      <rPr>
        <sz val="10"/>
        <rFont val="DejaVu Sans"/>
        <family val="2"/>
      </rPr>
      <t xml:space="preserve">렌더링 결과 </t>
    </r>
    <r>
      <rPr>
        <sz val="10"/>
        <rFont val="맑은 고딕"/>
        <family val="0"/>
        <charset val="1"/>
      </rPr>
      <t xml:space="preserve">PDF </t>
    </r>
    <r>
      <rPr>
        <sz val="10"/>
        <rFont val="DejaVu Sans"/>
        <family val="2"/>
      </rPr>
      <t xml:space="preserve">파일 생성 및 저장</t>
    </r>
  </si>
  <si>
    <t xml:space="preserve">리포트 생성 이력 관리</t>
  </si>
  <si>
    <r>
      <rPr>
        <sz val="10"/>
        <rFont val="맑은 고딕"/>
        <family val="0"/>
        <charset val="1"/>
      </rPr>
      <t xml:space="preserve">PDF </t>
    </r>
    <r>
      <rPr>
        <sz val="10"/>
        <rFont val="DejaVu Sans"/>
        <family val="2"/>
      </rPr>
      <t xml:space="preserve">리포트 생성 이력 기록 관리</t>
    </r>
  </si>
  <si>
    <t xml:space="preserve">리포트 생성 이력 화면 미구현</t>
  </si>
  <si>
    <r>
      <rPr>
        <sz val="10"/>
        <rFont val="DejaVu Sans"/>
        <family val="2"/>
      </rPr>
      <t xml:space="preserve">검도 리포트 </t>
    </r>
    <r>
      <rPr>
        <sz val="10"/>
        <rFont val="맑은 고딕"/>
        <family val="0"/>
        <charset val="1"/>
      </rPr>
      <t xml:space="preserve">PDF </t>
    </r>
    <r>
      <rPr>
        <sz val="10"/>
        <rFont val="DejaVu Sans"/>
        <family val="2"/>
      </rPr>
      <t xml:space="preserve">생성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추가처리 </t>
    </r>
    <r>
      <rPr>
        <sz val="10"/>
        <rFont val="맑은 고딕"/>
        <family val="0"/>
        <charset val="1"/>
      </rPr>
      <t xml:space="preserve">5</t>
    </r>
  </si>
  <si>
    <r>
      <rPr>
        <sz val="10"/>
        <rFont val="DejaVu Sans"/>
        <family val="2"/>
      </rPr>
      <t xml:space="preserve">검도 판정 결과 포함 종합 리포트 </t>
    </r>
    <r>
      <rPr>
        <sz val="10"/>
        <rFont val="맑은 고딕"/>
        <family val="0"/>
        <charset val="1"/>
      </rPr>
      <t xml:space="preserve">PDF </t>
    </r>
    <r>
      <rPr>
        <sz val="10"/>
        <rFont val="DejaVu Sans"/>
        <family val="2"/>
      </rPr>
      <t xml:space="preserve">자동 생성 추가처리 </t>
    </r>
    <r>
      <rPr>
        <sz val="10"/>
        <rFont val="맑은 고딕"/>
        <family val="0"/>
        <charset val="1"/>
      </rPr>
      <t xml:space="preserve">5</t>
    </r>
  </si>
  <si>
    <r>
      <rPr>
        <sz val="10"/>
        <rFont val="맑은 고딕"/>
        <family val="0"/>
        <charset val="1"/>
      </rPr>
      <t xml:space="preserve">PDF </t>
    </r>
    <r>
      <rPr>
        <sz val="10"/>
        <rFont val="DejaVu Sans"/>
        <family val="2"/>
      </rPr>
      <t xml:space="preserve">리포트 관련 화면 미구현</t>
    </r>
  </si>
  <si>
    <t xml:space="preserve">이력 관리</t>
  </si>
  <si>
    <r>
      <rPr>
        <sz val="10"/>
        <rFont val="DejaVu Sans"/>
        <family val="2"/>
      </rPr>
      <t xml:space="preserve">이력 </t>
    </r>
    <r>
      <rPr>
        <sz val="10"/>
        <rFont val="맑은 고딕"/>
        <family val="0"/>
        <charset val="1"/>
      </rPr>
      <t xml:space="preserve">UI</t>
    </r>
  </si>
  <si>
    <t xml:space="preserve">이전 프로젝트 목록 조회 화면</t>
  </si>
  <si>
    <r>
      <rPr>
        <sz val="10"/>
        <rFont val="DejaVu Sans"/>
        <family val="2"/>
      </rPr>
      <t xml:space="preserve">과거 프로젝트 리스트 표시 및 검색 </t>
    </r>
    <r>
      <rPr>
        <sz val="10"/>
        <rFont val="맑은 고딕"/>
        <family val="0"/>
        <charset val="1"/>
      </rPr>
      <t xml:space="preserve">UI</t>
    </r>
  </si>
  <si>
    <t xml:space="preserve">이력 화면</t>
  </si>
  <si>
    <r>
      <rPr>
        <sz val="10"/>
        <rFont val="DejaVu Sans"/>
        <family val="2"/>
      </rPr>
      <t xml:space="preserve">시공 대시보드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검도 작업 목록</t>
    </r>
  </si>
  <si>
    <r>
      <rPr>
        <sz val="10"/>
        <rFont val="DejaVu Sans"/>
        <family val="2"/>
      </rPr>
      <t xml:space="preserve">진행 중인 프로젝트 카드 그리드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검도 작업 목록 테이블 구현</t>
    </r>
  </si>
  <si>
    <r>
      <rPr>
        <sz val="10"/>
        <rFont val="DejaVu Sans"/>
        <family val="2"/>
      </rPr>
      <t xml:space="preserve">프로젝트 정렬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필터 기능</t>
    </r>
  </si>
  <si>
    <r>
      <rPr>
        <sz val="10"/>
        <rFont val="DejaVu Sans"/>
        <family val="2"/>
      </rPr>
      <t xml:space="preserve">프로젝트 목록 정렬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필터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페이징 기능</t>
    </r>
  </si>
  <si>
    <r>
      <rPr>
        <sz val="10"/>
        <rFont val="DejaVu Sans"/>
        <family val="2"/>
      </rPr>
      <t xml:space="preserve">검도 작업 목록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필터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페이지네이션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</si>
  <si>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상태 필터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기간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정렬</t>
    </r>
    <r>
      <rPr>
        <sz val="10"/>
        <rFont val="맑은 고딕"/>
        <family val="0"/>
        <charset val="1"/>
      </rPr>
      <t xml:space="preserve">, Pagination </t>
    </r>
    <r>
      <rPr>
        <sz val="10"/>
        <rFont val="DejaVu Sans"/>
        <family val="2"/>
      </rPr>
      <t xml:space="preserve">구현</t>
    </r>
  </si>
  <si>
    <t xml:space="preserve">프로젝트 상세 정보 표시</t>
  </si>
  <si>
    <r>
      <rPr>
        <sz val="10"/>
        <rFont val="DejaVu Sans"/>
        <family val="2"/>
      </rPr>
      <t xml:space="preserve">선택 프로젝트 상세 정보 표시 </t>
    </r>
    <r>
      <rPr>
        <sz val="10"/>
        <rFont val="맑은 고딕"/>
        <family val="0"/>
        <charset val="1"/>
      </rPr>
      <t xml:space="preserve">UI</t>
    </r>
  </si>
  <si>
    <t xml:space="preserve">검도 작업 결과 상세</t>
  </si>
  <si>
    <r>
      <rPr>
        <sz val="10"/>
        <rFont val="DejaVu Sans"/>
        <family val="2"/>
      </rPr>
      <t xml:space="preserve">프로젝트 메타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업체명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도면명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검도일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담당자</t>
    </r>
    <r>
      <rPr>
        <sz val="10"/>
        <rFont val="맑은 고딕"/>
        <family val="0"/>
        <charset val="1"/>
      </rPr>
      <t xml:space="preserve">) </t>
    </r>
    <r>
      <rPr>
        <sz val="10"/>
        <rFont val="DejaVu Sans"/>
        <family val="2"/>
      </rPr>
      <t xml:space="preserve">표시</t>
    </r>
  </si>
  <si>
    <t xml:space="preserve">프로젝트 목록 데이터 로드</t>
  </si>
  <si>
    <t xml:space="preserve">프로젝트 목록 데이터 비동기 로드 처리</t>
  </si>
  <si>
    <r>
      <rPr>
        <sz val="10"/>
        <rFont val="DejaVu Sans"/>
        <family val="2"/>
      </rPr>
      <t xml:space="preserve">이전 프로젝트 목록 조회 화면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추가처리 </t>
    </r>
    <r>
      <rPr>
        <sz val="10"/>
        <rFont val="맑은 고딕"/>
        <family val="0"/>
        <charset val="1"/>
      </rPr>
      <t xml:space="preserve">5</t>
    </r>
  </si>
  <si>
    <r>
      <rPr>
        <sz val="10"/>
        <rFont val="DejaVu Sans"/>
        <family val="2"/>
      </rPr>
      <t xml:space="preserve">과거 도면 분석 작업 리스트 조회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검색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정렬 화면 추가처리 </t>
    </r>
    <r>
      <rPr>
        <sz val="10"/>
        <rFont val="맑은 고딕"/>
        <family val="0"/>
        <charset val="1"/>
      </rPr>
      <t xml:space="preserve">5</t>
    </r>
  </si>
  <si>
    <t xml:space="preserve">검도 작업 목록</t>
  </si>
  <si>
    <r>
      <rPr>
        <sz val="10"/>
        <rFont val="DejaVu Sans"/>
        <family val="2"/>
      </rPr>
      <t xml:space="preserve">이전 도면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결과 불러오기</t>
    </r>
  </si>
  <si>
    <t xml:space="preserve">기존 도면 파일 로드 및 표시</t>
  </si>
  <si>
    <r>
      <rPr>
        <sz val="10"/>
        <rFont val="DejaVu Sans"/>
        <family val="2"/>
      </rPr>
      <t xml:space="preserve">검도 결과 상세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도면 뷰어</t>
    </r>
    <r>
      <rPr>
        <sz val="10"/>
        <rFont val="맑은 고딕"/>
        <family val="0"/>
        <charset val="1"/>
      </rPr>
      <t xml:space="preserve">)</t>
    </r>
  </si>
  <si>
    <t xml:space="preserve">도면 뷰어를 통한 도면 로드 표시 구현</t>
  </si>
  <si>
    <t xml:space="preserve">검도 결과 로드 및 표시</t>
  </si>
  <si>
    <t xml:space="preserve">기존 검도 결과 데이터 로드 및 화면 표시</t>
  </si>
  <si>
    <r>
      <rPr>
        <sz val="10"/>
        <rFont val="DejaVu Sans"/>
        <family val="2"/>
      </rPr>
      <t xml:space="preserve">기존 검도 결과 로드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표시 구현</t>
    </r>
  </si>
  <si>
    <t xml:space="preserve">결과 비교 표시 기능</t>
  </si>
  <si>
    <t xml:space="preserve">이전 결과와 현재 결과 비교 표시 기능</t>
  </si>
  <si>
    <r>
      <rPr>
        <sz val="10"/>
        <rFont val="DejaVu Sans"/>
        <family val="2"/>
      </rPr>
      <t xml:space="preserve">결과 비교</t>
    </r>
    <r>
      <rPr>
        <sz val="10"/>
        <rFont val="맑은 고딕"/>
        <family val="0"/>
        <charset val="1"/>
      </rPr>
      <t xml:space="preserve">(diff) UI </t>
    </r>
    <r>
      <rPr>
        <sz val="10"/>
        <rFont val="DejaVu Sans"/>
        <family val="2"/>
      </rPr>
      <t xml:space="preserve">미구현</t>
    </r>
  </si>
  <si>
    <t xml:space="preserve">로드 상태 표시 처리</t>
  </si>
  <si>
    <t xml:space="preserve">데이터 로드 진행 상태 표시 처리</t>
  </si>
  <si>
    <r>
      <rPr>
        <sz val="10"/>
        <rFont val="DejaVu Sans"/>
        <family val="2"/>
      </rPr>
      <t xml:space="preserve">로딩 스피너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스켈레톤 </t>
    </r>
    <r>
      <rPr>
        <sz val="10"/>
        <rFont val="맑은 고딕"/>
        <family val="0"/>
        <charset val="1"/>
      </rPr>
      <t xml:space="preserve">UI </t>
    </r>
    <r>
      <rPr>
        <sz val="10"/>
        <rFont val="DejaVu Sans"/>
        <family val="2"/>
      </rPr>
      <t xml:space="preserve">명시 없음</t>
    </r>
  </si>
  <si>
    <r>
      <rPr>
        <sz val="10"/>
        <rFont val="DejaVu Sans"/>
        <family val="2"/>
      </rPr>
      <t xml:space="preserve">이전 도면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결과 불러오기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추가처리 </t>
    </r>
    <r>
      <rPr>
        <sz val="10"/>
        <rFont val="맑은 고딕"/>
        <family val="0"/>
        <charset val="1"/>
      </rPr>
      <t xml:space="preserve">5</t>
    </r>
  </si>
  <si>
    <r>
      <rPr>
        <sz val="10"/>
        <rFont val="DejaVu Sans"/>
        <family val="2"/>
      </rPr>
      <t xml:space="preserve">기존 도면 및 검도 결과 로드 및 표시 화면 추가처리 </t>
    </r>
    <r>
      <rPr>
        <sz val="10"/>
        <rFont val="맑은 고딕"/>
        <family val="0"/>
        <charset val="1"/>
      </rPr>
      <t xml:space="preserve">5</t>
    </r>
  </si>
  <si>
    <r>
      <rPr>
        <sz val="10"/>
        <rFont val="DejaVu Sans"/>
        <family val="2"/>
      </rPr>
      <t xml:space="preserve">분석 이력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단계 복원</t>
    </r>
  </si>
  <si>
    <t xml:space="preserve">중단 작업 분석 단계 상태 조회</t>
  </si>
  <si>
    <r>
      <rPr>
        <sz val="10"/>
        <rFont val="DejaVu Sans"/>
        <family val="2"/>
      </rPr>
      <t xml:space="preserve">단계 상태 컬럼은 있으나 중단 작업 복원 진입 </t>
    </r>
    <r>
      <rPr>
        <sz val="10"/>
        <rFont val="맑은 고딕"/>
        <family val="0"/>
        <charset val="1"/>
      </rPr>
      <t xml:space="preserve">UI </t>
    </r>
    <r>
      <rPr>
        <sz val="10"/>
        <rFont val="DejaVu Sans"/>
        <family val="2"/>
      </rPr>
      <t xml:space="preserve">미구현</t>
    </r>
  </si>
  <si>
    <t xml:space="preserve">작업 단계 복원 및 재개</t>
  </si>
  <si>
    <t xml:space="preserve">중단 지점부터 분석 단계 복원 및 재개</t>
  </si>
  <si>
    <r>
      <rPr>
        <sz val="10"/>
        <rFont val="DejaVu Sans"/>
        <family val="2"/>
      </rPr>
      <t xml:space="preserve">검도 작업 목록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재시도 버튼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</si>
  <si>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재시도 버튼은 있으나 복원 단계 선택 </t>
    </r>
    <r>
      <rPr>
        <sz val="10"/>
        <rFont val="맑은 고딕"/>
        <family val="0"/>
        <charset val="1"/>
      </rPr>
      <t xml:space="preserve">UI </t>
    </r>
    <r>
      <rPr>
        <sz val="10"/>
        <rFont val="DejaVu Sans"/>
        <family val="2"/>
      </rPr>
      <t xml:space="preserve">미구현</t>
    </r>
  </si>
  <si>
    <t xml:space="preserve">복원 결과 검증</t>
  </si>
  <si>
    <t xml:space="preserve">복원된 작업 상태 정합성 검증</t>
  </si>
  <si>
    <r>
      <rPr>
        <sz val="10"/>
        <rFont val="맑은 고딕"/>
        <family val="0"/>
        <charset val="1"/>
      </rPr>
      <t xml:space="preserve">UI/UX </t>
    </r>
    <r>
      <rPr>
        <sz val="10"/>
        <rFont val="DejaVu Sans"/>
        <family val="2"/>
      </rPr>
      <t xml:space="preserve">기획</t>
    </r>
  </si>
  <si>
    <t xml:space="preserve">화면 설계</t>
  </si>
  <si>
    <t xml:space="preserve">도면 업로드 화면 기획</t>
  </si>
  <si>
    <r>
      <rPr>
        <sz val="10"/>
        <rFont val="DejaVu Sans"/>
        <family val="2"/>
      </rPr>
      <t xml:space="preserve">업로드 </t>
    </r>
    <r>
      <rPr>
        <sz val="10"/>
        <rFont val="맑은 고딕"/>
        <family val="0"/>
        <charset val="1"/>
      </rPr>
      <t xml:space="preserve">UI </t>
    </r>
    <r>
      <rPr>
        <sz val="10"/>
        <rFont val="DejaVu Sans"/>
        <family val="2"/>
      </rPr>
      <t xml:space="preserve">기획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와이어프레임 정의</t>
    </r>
  </si>
  <si>
    <r>
      <rPr>
        <sz val="10"/>
        <rFont val="맑은 고딕"/>
        <family val="0"/>
        <charset val="1"/>
      </rPr>
      <t xml:space="preserve">UX </t>
    </r>
    <r>
      <rPr>
        <sz val="10"/>
        <rFont val="DejaVu Sans"/>
        <family val="2"/>
      </rPr>
      <t xml:space="preserve">기획</t>
    </r>
  </si>
  <si>
    <r>
      <rPr>
        <sz val="10"/>
        <rFont val="DejaVu Sans"/>
        <family val="2"/>
      </rPr>
      <t xml:space="preserve">부분 기획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도면 </t>
    </r>
    <r>
      <rPr>
        <sz val="10"/>
        <rFont val="맑은 고딕"/>
        <family val="0"/>
        <charset val="1"/>
      </rPr>
      <t xml:space="preserve">D&amp;D </t>
    </r>
    <r>
      <rPr>
        <sz val="10"/>
        <rFont val="DejaVu Sans"/>
        <family val="2"/>
      </rPr>
      <t xml:space="preserve">영역 와이어프레임 보강 필요</t>
    </r>
  </si>
  <si>
    <r>
      <rPr>
        <sz val="10"/>
        <rFont val="DejaVu Sans"/>
        <family val="2"/>
      </rPr>
      <t xml:space="preserve">분석 요청 </t>
    </r>
    <r>
      <rPr>
        <sz val="10"/>
        <rFont val="맑은 고딕"/>
        <family val="0"/>
        <charset val="1"/>
      </rPr>
      <t xml:space="preserve">UX </t>
    </r>
    <r>
      <rPr>
        <sz val="10"/>
        <rFont val="DejaVu Sans"/>
        <family val="2"/>
      </rPr>
      <t xml:space="preserve">설계</t>
    </r>
  </si>
  <si>
    <r>
      <rPr>
        <sz val="10"/>
        <rFont val="DejaVu Sans"/>
        <family val="2"/>
      </rPr>
      <t xml:space="preserve">분석 요청 흐름 </t>
    </r>
    <r>
      <rPr>
        <sz val="10"/>
        <rFont val="맑은 고딕"/>
        <family val="0"/>
        <charset val="1"/>
      </rPr>
      <t xml:space="preserve">UX </t>
    </r>
    <r>
      <rPr>
        <sz val="10"/>
        <rFont val="DejaVu Sans"/>
        <family val="2"/>
      </rPr>
      <t xml:space="preserve">설계 및 프로토타입</t>
    </r>
  </si>
  <si>
    <r>
      <rPr>
        <sz val="10"/>
        <rFont val="DejaVu Sans"/>
        <family val="2"/>
      </rPr>
      <t xml:space="preserve">신규 검도 팝업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기본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입력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예외처리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</si>
  <si>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입력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예외처리 변형 구현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분석 옵션 설정 단계 보강 필요</t>
    </r>
  </si>
  <si>
    <r>
      <rPr>
        <sz val="10"/>
        <rFont val="DejaVu Sans"/>
        <family val="2"/>
      </rPr>
      <t xml:space="preserve">업로드 에러 처리 </t>
    </r>
    <r>
      <rPr>
        <sz val="10"/>
        <rFont val="맑은 고딕"/>
        <family val="0"/>
        <charset val="1"/>
      </rPr>
      <t xml:space="preserve">UX</t>
    </r>
  </si>
  <si>
    <r>
      <rPr>
        <sz val="10"/>
        <rFont val="DejaVu Sans"/>
        <family val="2"/>
      </rPr>
      <t xml:space="preserve">업로드 실패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오류 상황 </t>
    </r>
    <r>
      <rPr>
        <sz val="10"/>
        <rFont val="맑은 고딕"/>
        <family val="0"/>
        <charset val="1"/>
      </rPr>
      <t xml:space="preserve">UX </t>
    </r>
    <r>
      <rPr>
        <sz val="10"/>
        <rFont val="DejaVu Sans"/>
        <family val="2"/>
      </rPr>
      <t xml:space="preserve">설계</t>
    </r>
  </si>
  <si>
    <r>
      <rPr>
        <sz val="10"/>
        <rFont val="DejaVu Sans"/>
        <family val="2"/>
      </rPr>
      <t xml:space="preserve">신규 검도 팝업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예외처리</t>
    </r>
  </si>
  <si>
    <r>
      <rPr>
        <sz val="10"/>
        <rFont val="DejaVu Sans"/>
        <family val="2"/>
      </rPr>
      <t xml:space="preserve">인라인 에러 메시지 </t>
    </r>
    <r>
      <rPr>
        <sz val="10"/>
        <rFont val="맑은 고딕"/>
        <family val="0"/>
        <charset val="1"/>
      </rPr>
      <t xml:space="preserve">UX </t>
    </r>
    <r>
      <rPr>
        <sz val="10"/>
        <rFont val="DejaVu Sans"/>
        <family val="2"/>
      </rPr>
      <t xml:space="preserve">구현</t>
    </r>
  </si>
  <si>
    <t xml:space="preserve">검도 진행 현황 화면 기획</t>
  </si>
  <si>
    <t xml:space="preserve">분석 진행 상태 모니터링 화면 기획</t>
  </si>
  <si>
    <r>
      <rPr>
        <sz val="10"/>
        <rFont val="DejaVu Sans"/>
        <family val="2"/>
      </rPr>
      <t xml:space="preserve">목록 형태 진행 상태만 기획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단계별 진행 상황 화면 미기획</t>
    </r>
  </si>
  <si>
    <r>
      <rPr>
        <sz val="10"/>
        <rFont val="DejaVu Sans"/>
        <family val="2"/>
      </rPr>
      <t xml:space="preserve">진행 현황 </t>
    </r>
    <r>
      <rPr>
        <sz val="10"/>
        <rFont val="맑은 고딕"/>
        <family val="0"/>
        <charset val="1"/>
      </rPr>
      <t xml:space="preserve">UX </t>
    </r>
    <r>
      <rPr>
        <sz val="10"/>
        <rFont val="DejaVu Sans"/>
        <family val="2"/>
      </rPr>
      <t xml:space="preserve">인터랙션 설계</t>
    </r>
  </si>
  <si>
    <r>
      <rPr>
        <sz val="10"/>
        <rFont val="DejaVu Sans"/>
        <family val="2"/>
      </rPr>
      <t xml:space="preserve">진행 현황 </t>
    </r>
    <r>
      <rPr>
        <sz val="10"/>
        <rFont val="맑은 고딕"/>
        <family val="0"/>
        <charset val="1"/>
      </rPr>
      <t xml:space="preserve">UX </t>
    </r>
    <r>
      <rPr>
        <sz val="10"/>
        <rFont val="DejaVu Sans"/>
        <family val="2"/>
      </rPr>
      <t xml:space="preserve">인터랙션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애니메이션 설계</t>
    </r>
  </si>
  <si>
    <r>
      <rPr>
        <sz val="10"/>
        <rFont val="DejaVu Sans"/>
        <family val="2"/>
      </rPr>
      <t xml:space="preserve">상태 </t>
    </r>
    <r>
      <rPr>
        <sz val="10"/>
        <rFont val="맑은 고딕"/>
        <family val="0"/>
        <charset val="1"/>
      </rPr>
      <t xml:space="preserve">Badge </t>
    </r>
    <r>
      <rPr>
        <sz val="10"/>
        <rFont val="DejaVu Sans"/>
        <family val="2"/>
      </rPr>
      <t xml:space="preserve">인터랙션 정도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애니메이션 정의 미흡</t>
    </r>
  </si>
  <si>
    <r>
      <rPr>
        <sz val="10"/>
        <rFont val="DejaVu Sans"/>
        <family val="2"/>
      </rPr>
      <t xml:space="preserve">검도 결과</t>
    </r>
    <r>
      <rPr>
        <sz val="10"/>
        <rFont val="맑은 고딕"/>
        <family val="0"/>
        <charset val="1"/>
      </rPr>
      <t xml:space="preserve">(PASS/FAIL) </t>
    </r>
    <r>
      <rPr>
        <sz val="10"/>
        <rFont val="DejaVu Sans"/>
        <family val="2"/>
      </rPr>
      <t xml:space="preserve">화면 기획</t>
    </r>
  </si>
  <si>
    <t xml:space="preserve">검도 결과 판정 상세 조회 화면 기획</t>
  </si>
  <si>
    <r>
      <rPr>
        <sz val="10"/>
        <rFont val="DejaVu Sans"/>
        <family val="2"/>
      </rPr>
      <t xml:space="preserve">결과 화면은 기획</t>
    </r>
    <r>
      <rPr>
        <sz val="10"/>
        <rFont val="맑은 고딕"/>
        <family val="0"/>
        <charset val="1"/>
      </rPr>
      <t xml:space="preserve">, PASS/FAIL </t>
    </r>
    <r>
      <rPr>
        <sz val="10"/>
        <rFont val="DejaVu Sans"/>
        <family val="2"/>
      </rPr>
      <t xml:space="preserve">판정 시각화 보강 필요</t>
    </r>
  </si>
  <si>
    <t xml:space="preserve">결과 인터랙션 정의</t>
  </si>
  <si>
    <r>
      <rPr>
        <sz val="10"/>
        <rFont val="DejaVu Sans"/>
        <family val="2"/>
      </rPr>
      <t xml:space="preserve">결과 화면 인터랙션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드릴다운 정의</t>
    </r>
  </si>
  <si>
    <r>
      <rPr>
        <sz val="10"/>
        <rFont val="DejaVu Sans"/>
        <family val="2"/>
      </rPr>
      <t xml:space="preserve">검도 결과 상세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좌측 패널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하단 테이블 펼침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</si>
  <si>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패널 펼침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접힘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탭 전환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테이블 드릴다운 인터랙션 구현</t>
    </r>
  </si>
  <si>
    <r>
      <rPr>
        <sz val="10"/>
        <rFont val="DejaVu Sans"/>
        <family val="2"/>
      </rPr>
      <t xml:space="preserve">소명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재검토 워크플로 </t>
    </r>
    <r>
      <rPr>
        <sz val="10"/>
        <rFont val="맑은 고딕"/>
        <family val="0"/>
        <charset val="1"/>
      </rPr>
      <t xml:space="preserve">UX </t>
    </r>
    <r>
      <rPr>
        <sz val="10"/>
        <rFont val="DejaVu Sans"/>
        <family val="2"/>
      </rPr>
      <t xml:space="preserve">설계</t>
    </r>
  </si>
  <si>
    <r>
      <rPr>
        <sz val="10"/>
        <rFont val="DejaVu Sans"/>
        <family val="2"/>
      </rPr>
      <t xml:space="preserve">소명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재검토 프로세스 </t>
    </r>
    <r>
      <rPr>
        <sz val="10"/>
        <rFont val="맑은 고딕"/>
        <family val="0"/>
        <charset val="1"/>
      </rPr>
      <t xml:space="preserve">UI </t>
    </r>
    <r>
      <rPr>
        <sz val="10"/>
        <rFont val="DejaVu Sans"/>
        <family val="2"/>
      </rPr>
      <t xml:space="preserve">흐름 정의</t>
    </r>
  </si>
  <si>
    <r>
      <rPr>
        <sz val="10"/>
        <rFont val="DejaVu Sans"/>
        <family val="2"/>
      </rPr>
      <t xml:space="preserve">소명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재검토 워크플로 미설계</t>
    </r>
  </si>
  <si>
    <r>
      <rPr>
        <sz val="10"/>
        <rFont val="DejaVu Sans"/>
        <family val="2"/>
      </rPr>
      <t xml:space="preserve">워크플로 상태 전이 </t>
    </r>
    <r>
      <rPr>
        <sz val="10"/>
        <rFont val="맑은 고딕"/>
        <family val="0"/>
        <charset val="1"/>
      </rPr>
      <t xml:space="preserve">UX</t>
    </r>
  </si>
  <si>
    <r>
      <rPr>
        <sz val="10"/>
        <rFont val="DejaVu Sans"/>
        <family val="2"/>
      </rPr>
      <t xml:space="preserve">소명 제출→검토→승인 상태 전이 </t>
    </r>
    <r>
      <rPr>
        <sz val="10"/>
        <rFont val="맑은 고딕"/>
        <family val="0"/>
        <charset val="1"/>
      </rPr>
      <t xml:space="preserve">UX </t>
    </r>
    <r>
      <rPr>
        <sz val="10"/>
        <rFont val="DejaVu Sans"/>
        <family val="2"/>
      </rPr>
      <t xml:space="preserve">설계</t>
    </r>
  </si>
  <si>
    <r>
      <rPr>
        <sz val="10"/>
        <rFont val="DejaVu Sans"/>
        <family val="2"/>
      </rPr>
      <t xml:space="preserve">워크플로 상태 전이 </t>
    </r>
    <r>
      <rPr>
        <sz val="10"/>
        <rFont val="맑은 고딕"/>
        <family val="0"/>
        <charset val="1"/>
      </rPr>
      <t xml:space="preserve">UX </t>
    </r>
    <r>
      <rPr>
        <sz val="10"/>
        <rFont val="DejaVu Sans"/>
        <family val="2"/>
      </rPr>
      <t xml:space="preserve">미설계</t>
    </r>
  </si>
  <si>
    <t xml:space="preserve">고객 대시보드 기획</t>
  </si>
  <si>
    <r>
      <rPr>
        <sz val="10"/>
        <rFont val="DejaVu Sans"/>
        <family val="2"/>
      </rPr>
      <t xml:space="preserve">고객사 검토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보고용 대시보드 화면 기획</t>
    </r>
  </si>
  <si>
    <r>
      <rPr>
        <sz val="10"/>
        <rFont val="맑은 고딕"/>
        <family val="0"/>
        <charset val="1"/>
      </rPr>
      <t xml:space="preserve">HVAC </t>
    </r>
    <r>
      <rPr>
        <sz val="10"/>
        <rFont val="DejaVu Sans"/>
        <family val="2"/>
      </rPr>
      <t xml:space="preserve">시공 대시보드</t>
    </r>
  </si>
  <si>
    <r>
      <rPr>
        <sz val="10"/>
        <rFont val="맑은 고딕"/>
        <family val="0"/>
        <charset val="1"/>
      </rPr>
      <t xml:space="preserve">Stats + </t>
    </r>
    <r>
      <rPr>
        <sz val="10"/>
        <rFont val="DejaVu Sans"/>
        <family val="2"/>
      </rPr>
      <t xml:space="preserve">프로젝트 카드 그리드 기획 완료</t>
    </r>
  </si>
  <si>
    <r>
      <rPr>
        <sz val="10"/>
        <rFont val="DejaVu Sans"/>
        <family val="2"/>
      </rPr>
      <t xml:space="preserve">대시보드 레이아웃 </t>
    </r>
    <r>
      <rPr>
        <sz val="10"/>
        <rFont val="맑은 고딕"/>
        <family val="0"/>
        <charset val="1"/>
      </rPr>
      <t xml:space="preserve">UX </t>
    </r>
    <r>
      <rPr>
        <sz val="10"/>
        <rFont val="DejaVu Sans"/>
        <family val="2"/>
      </rPr>
      <t xml:space="preserve">설계</t>
    </r>
  </si>
  <si>
    <r>
      <rPr>
        <sz val="10"/>
        <rFont val="DejaVu Sans"/>
        <family val="2"/>
      </rPr>
      <t xml:space="preserve">대시보드 레이아웃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인터랙션 </t>
    </r>
    <r>
      <rPr>
        <sz val="10"/>
        <rFont val="맑은 고딕"/>
        <family val="0"/>
        <charset val="1"/>
      </rPr>
      <t xml:space="preserve">UX </t>
    </r>
    <r>
      <rPr>
        <sz val="10"/>
        <rFont val="DejaVu Sans"/>
        <family val="2"/>
      </rPr>
      <t xml:space="preserve">설계</t>
    </r>
  </si>
  <si>
    <r>
      <rPr>
        <sz val="10"/>
        <rFont val="맑은 고딕"/>
        <family val="0"/>
        <charset val="1"/>
      </rPr>
      <t xml:space="preserve">HVAC </t>
    </r>
    <r>
      <rPr>
        <sz val="10"/>
        <rFont val="DejaVu Sans"/>
        <family val="2"/>
      </rPr>
      <t xml:space="preserve">시공 대시보드</t>
    </r>
    <r>
      <rPr>
        <sz val="10"/>
        <rFont val="맑은 고딕"/>
        <family val="0"/>
        <charset val="1"/>
      </rPr>
      <t xml:space="preserve">, ADM </t>
    </r>
    <r>
      <rPr>
        <sz val="10"/>
        <rFont val="DejaVu Sans"/>
        <family val="2"/>
      </rPr>
      <t xml:space="preserve">대시보드</t>
    </r>
  </si>
  <si>
    <r>
      <rPr>
        <sz val="10"/>
        <rFont val="DejaVu Sans"/>
        <family val="2"/>
      </rPr>
      <t xml:space="preserve">대시보드 레이아웃 </t>
    </r>
    <r>
      <rPr>
        <sz val="10"/>
        <rFont val="맑은 고딕"/>
        <family val="0"/>
        <charset val="1"/>
      </rPr>
      <t xml:space="preserve">2</t>
    </r>
    <r>
      <rPr>
        <sz val="10"/>
        <rFont val="DejaVu Sans"/>
        <family val="2"/>
      </rPr>
      <t xml:space="preserve">종 설계 완료</t>
    </r>
  </si>
  <si>
    <r>
      <rPr>
        <sz val="10"/>
        <rFont val="맑은 고딕"/>
        <family val="0"/>
        <charset val="1"/>
      </rPr>
      <t xml:space="preserve">UI/UX </t>
    </r>
    <r>
      <rPr>
        <sz val="10"/>
        <rFont val="DejaVu Sans"/>
        <family val="2"/>
      </rPr>
      <t xml:space="preserve">디자인</t>
    </r>
  </si>
  <si>
    <t xml:space="preserve">화면 디자인</t>
  </si>
  <si>
    <r>
      <rPr>
        <sz val="10"/>
        <rFont val="DejaVu Sans"/>
        <family val="2"/>
      </rPr>
      <t xml:space="preserve">도면 업로드 화면 </t>
    </r>
    <r>
      <rPr>
        <sz val="10"/>
        <rFont val="맑은 고딕"/>
        <family val="0"/>
        <charset val="1"/>
      </rPr>
      <t xml:space="preserve">UI </t>
    </r>
    <r>
      <rPr>
        <sz val="10"/>
        <rFont val="DejaVu Sans"/>
        <family val="2"/>
      </rPr>
      <t xml:space="preserve">디자인</t>
    </r>
  </si>
  <si>
    <t xml:space="preserve">도면 업로드 화면 비주얼 디자인</t>
  </si>
  <si>
    <r>
      <rPr>
        <sz val="10"/>
        <rFont val="맑은 고딕"/>
        <family val="0"/>
        <charset val="1"/>
      </rPr>
      <t xml:space="preserve">UI </t>
    </r>
    <r>
      <rPr>
        <sz val="10"/>
        <rFont val="DejaVu Sans"/>
        <family val="2"/>
      </rPr>
      <t xml:space="preserve">디자인</t>
    </r>
  </si>
  <si>
    <r>
      <rPr>
        <sz val="10"/>
        <rFont val="DejaVu Sans"/>
        <family val="2"/>
      </rPr>
      <t xml:space="preserve">부분 디자인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도면 </t>
    </r>
    <r>
      <rPr>
        <sz val="10"/>
        <rFont val="맑은 고딕"/>
        <family val="0"/>
        <charset val="1"/>
      </rPr>
      <t xml:space="preserve">D&amp;D </t>
    </r>
    <r>
      <rPr>
        <sz val="10"/>
        <rFont val="DejaVu Sans"/>
        <family val="2"/>
      </rPr>
      <t xml:space="preserve">비주얼 보강 필요</t>
    </r>
  </si>
  <si>
    <t xml:space="preserve">업로드 인터랙션 디자인</t>
  </si>
  <si>
    <r>
      <rPr>
        <sz val="10"/>
        <rFont val="DejaVu Sans"/>
        <family val="2"/>
      </rPr>
      <t xml:space="preserve">파일 드래그앤드롭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진행률 인터랙션 디자인</t>
    </r>
  </si>
  <si>
    <t xml:space="preserve">장비 엑셀 업로드 모달</t>
  </si>
  <si>
    <r>
      <rPr>
        <sz val="10"/>
        <rFont val="DejaVu Sans"/>
        <family val="2"/>
      </rPr>
      <t xml:space="preserve">장비 엑셀에는 </t>
    </r>
    <r>
      <rPr>
        <sz val="10"/>
        <rFont val="맑은 고딕"/>
        <family val="0"/>
        <charset val="1"/>
      </rPr>
      <t xml:space="preserve">D&amp;D </t>
    </r>
    <r>
      <rPr>
        <sz val="10"/>
        <rFont val="DejaVu Sans"/>
        <family val="2"/>
      </rPr>
      <t xml:space="preserve">디자인 있으나 도면용 디자인 미적용</t>
    </r>
  </si>
  <si>
    <t xml:space="preserve">검도 결과 시각 표현 디자인</t>
  </si>
  <si>
    <r>
      <rPr>
        <sz val="10"/>
        <rFont val="맑은 고딕"/>
        <family val="0"/>
        <charset val="1"/>
      </rPr>
      <t xml:space="preserve">PASS/FAIL/WARN </t>
    </r>
    <r>
      <rPr>
        <sz val="10"/>
        <rFont val="DejaVu Sans"/>
        <family val="2"/>
      </rPr>
      <t xml:space="preserve">시각 표현 디자인</t>
    </r>
  </si>
  <si>
    <r>
      <rPr>
        <sz val="10"/>
        <rFont val="DejaVu Sans"/>
        <family val="2"/>
      </rPr>
      <t xml:space="preserve">검도 결과 상세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상태 </t>
    </r>
    <r>
      <rPr>
        <sz val="10"/>
        <rFont val="맑은 고딕"/>
        <family val="0"/>
        <charset val="1"/>
      </rPr>
      <t xml:space="preserve">Badge</t>
    </r>
  </si>
  <si>
    <r>
      <rPr>
        <sz val="10"/>
        <rFont val="DejaVu Sans"/>
        <family val="2"/>
      </rPr>
      <t xml:space="preserve">상태 </t>
    </r>
    <r>
      <rPr>
        <sz val="10"/>
        <rFont val="맑은 고딕"/>
        <family val="0"/>
        <charset val="1"/>
      </rPr>
      <t xml:space="preserve">Badge </t>
    </r>
    <r>
      <rPr>
        <sz val="10"/>
        <rFont val="DejaVu Sans"/>
        <family val="2"/>
      </rPr>
      <t xml:space="preserve">디자인 구현</t>
    </r>
  </si>
  <si>
    <t xml:space="preserve">컬러 가이드 디자인</t>
  </si>
  <si>
    <r>
      <rPr>
        <sz val="10"/>
        <rFont val="DejaVu Sans"/>
        <family val="2"/>
      </rPr>
      <t xml:space="preserve">상태별 컬러 가이드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아이콘 디자인</t>
    </r>
  </si>
  <si>
    <r>
      <rPr>
        <sz val="10"/>
        <rFont val="DejaVu Sans"/>
        <family val="2"/>
      </rPr>
      <t xml:space="preserve">전체 화면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상태 </t>
    </r>
    <r>
      <rPr>
        <sz val="10"/>
        <rFont val="맑은 고딕"/>
        <family val="0"/>
        <charset val="1"/>
      </rPr>
      <t xml:space="preserve">Badge)</t>
    </r>
  </si>
  <si>
    <r>
      <rPr>
        <sz val="10"/>
        <rFont val="DejaVu Sans"/>
        <family val="2"/>
      </rPr>
      <t xml:space="preserve">상태별 컬러는 적용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명시적 컬러 가이드 페이지 없음</t>
    </r>
  </si>
  <si>
    <r>
      <rPr>
        <sz val="10"/>
        <rFont val="DejaVu Sans"/>
        <family val="2"/>
      </rPr>
      <t xml:space="preserve">항목별 오류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경고 하이라이트 디자인</t>
    </r>
  </si>
  <si>
    <t xml:space="preserve">검도 항목별 오류 시각 체계 디자인</t>
  </si>
  <si>
    <r>
      <rPr>
        <sz val="10"/>
        <rFont val="DejaVu Sans"/>
        <family val="2"/>
      </rPr>
      <t xml:space="preserve">검도 작업 목록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오류 </t>
    </r>
    <r>
      <rPr>
        <sz val="10"/>
        <rFont val="맑은 고딕"/>
        <family val="0"/>
        <charset val="1"/>
      </rPr>
      <t xml:space="preserve">Badge)</t>
    </r>
  </si>
  <si>
    <t xml:space="preserve">오류 상태 시각 체계 디자인</t>
  </si>
  <si>
    <t xml:space="preserve">경고 하이라이트 디자인</t>
  </si>
  <si>
    <t xml:space="preserve">경고 수준별 하이라이트 시각 체계 디자인</t>
  </si>
  <si>
    <r>
      <rPr>
        <sz val="10"/>
        <rFont val="DejaVu Sans"/>
        <family val="2"/>
      </rPr>
      <t xml:space="preserve">일반 상태 </t>
    </r>
    <r>
      <rPr>
        <sz val="10"/>
        <rFont val="맑은 고딕"/>
        <family val="0"/>
        <charset val="1"/>
      </rPr>
      <t xml:space="preserve">Badge</t>
    </r>
    <r>
      <rPr>
        <sz val="10"/>
        <rFont val="DejaVu Sans"/>
        <family val="2"/>
      </rPr>
      <t xml:space="preserve">는 있으나 경고 수준별</t>
    </r>
    <r>
      <rPr>
        <sz val="10"/>
        <rFont val="맑은 고딕"/>
        <family val="0"/>
        <charset val="1"/>
      </rPr>
      <t xml:space="preserve">(WARN) </t>
    </r>
    <r>
      <rPr>
        <sz val="10"/>
        <rFont val="DejaVu Sans"/>
        <family val="2"/>
      </rPr>
      <t xml:space="preserve">디자인 보강 필요</t>
    </r>
  </si>
  <si>
    <t xml:space="preserve">대시보드 레이아웃 디자인</t>
  </si>
  <si>
    <t xml:space="preserve">검도 현황 대시보드 레이아웃 설계</t>
  </si>
  <si>
    <t xml:space="preserve">대시보드 레이아웃 디자인 완료</t>
  </si>
  <si>
    <r>
      <rPr>
        <sz val="10"/>
        <rFont val="DejaVu Sans"/>
        <family val="2"/>
      </rPr>
      <t xml:space="preserve">대시보드 컬러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타이포 설계</t>
    </r>
  </si>
  <si>
    <r>
      <rPr>
        <sz val="10"/>
        <rFont val="DejaVu Sans"/>
        <family val="2"/>
      </rPr>
      <t xml:space="preserve">대시보드 컬러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타이포그래피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아이콘 설계</t>
    </r>
  </si>
  <si>
    <r>
      <rPr>
        <sz val="10"/>
        <rFont val="DejaVu Sans"/>
        <family val="2"/>
      </rPr>
      <t xml:space="preserve">대시보드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전체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</si>
  <si>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컬러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타이포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아이콘 적용</t>
    </r>
  </si>
  <si>
    <t xml:space="preserve">디자인 시스템</t>
  </si>
  <si>
    <r>
      <rPr>
        <sz val="10"/>
        <rFont val="맑은 고딕"/>
        <family val="0"/>
        <charset val="1"/>
      </rPr>
      <t xml:space="preserve">Web Style Guide </t>
    </r>
    <r>
      <rPr>
        <sz val="10"/>
        <rFont val="DejaVu Sans"/>
        <family val="2"/>
      </rPr>
      <t xml:space="preserve">정의</t>
    </r>
  </si>
  <si>
    <r>
      <rPr>
        <sz val="10"/>
        <rFont val="DejaVu Sans"/>
        <family val="2"/>
      </rPr>
      <t xml:space="preserve">색상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폰트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아이콘 디자인 표준 정의</t>
    </r>
  </si>
  <si>
    <r>
      <rPr>
        <sz val="10"/>
        <rFont val="맑은 고딕"/>
        <family val="0"/>
        <charset val="1"/>
      </rPr>
      <t xml:space="preserve">Web Style Guide </t>
    </r>
    <r>
      <rPr>
        <sz val="10"/>
        <rFont val="DejaVu Sans"/>
        <family val="2"/>
      </rPr>
      <t xml:space="preserve">페이지 미구현</t>
    </r>
  </si>
  <si>
    <t xml:space="preserve">컴포넌트 디자인 가이드</t>
  </si>
  <si>
    <r>
      <rPr>
        <sz val="10"/>
        <rFont val="맑은 고딕"/>
        <family val="0"/>
        <charset val="1"/>
      </rPr>
      <t xml:space="preserve">UI </t>
    </r>
    <r>
      <rPr>
        <sz val="10"/>
        <rFont val="DejaVu Sans"/>
        <family val="2"/>
      </rPr>
      <t xml:space="preserve">컴포넌트 디자인 규칙 및 가이드 정의</t>
    </r>
  </si>
  <si>
    <r>
      <rPr>
        <sz val="10"/>
        <rFont val="DejaVu Sans"/>
        <family val="2"/>
      </rPr>
      <t xml:space="preserve">컴포넌트</t>
    </r>
    <r>
      <rPr>
        <sz val="10"/>
        <rFont val="맑은 고딕"/>
        <family val="0"/>
        <charset val="1"/>
      </rPr>
      <t xml:space="preserve">_</t>
    </r>
    <r>
      <rPr>
        <sz val="10"/>
        <rFont val="DejaVu Sans"/>
        <family val="2"/>
      </rPr>
      <t xml:space="preserve">테이블 명세 </t>
    </r>
    <r>
      <rPr>
        <sz val="10"/>
        <rFont val="맑은 고딕"/>
        <family val="0"/>
        <charset val="1"/>
      </rPr>
      <t xml:space="preserve">(22</t>
    </r>
    <r>
      <rPr>
        <sz val="10"/>
        <rFont val="DejaVu Sans"/>
        <family val="2"/>
      </rPr>
      <t xml:space="preserve">개</t>
    </r>
    <r>
      <rPr>
        <sz val="10"/>
        <rFont val="맑은 고딕"/>
        <family val="0"/>
        <charset val="1"/>
      </rPr>
      <t xml:space="preserve">)</t>
    </r>
  </si>
  <si>
    <t xml:space="preserve">화면별 컴포넌트 명세는 있으나 통합 컴포넌트 가이드 미구현</t>
  </si>
  <si>
    <t xml:space="preserve">디자인 일관성 가이드</t>
  </si>
  <si>
    <r>
      <rPr>
        <sz val="10"/>
        <rFont val="DejaVu Sans"/>
        <family val="2"/>
      </rPr>
      <t xml:space="preserve">고객사 보고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검토용 화면 디자인 일관성 규칙 정의</t>
    </r>
  </si>
  <si>
    <r>
      <rPr>
        <sz val="10"/>
        <rFont val="DejaVu Sans"/>
        <family val="2"/>
      </rPr>
      <t xml:space="preserve">일관성 가이드 문서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페이지 미구현</t>
    </r>
  </si>
  <si>
    <t xml:space="preserve">구현 현황 요약</t>
  </si>
  <si>
    <r>
      <rPr>
        <b val="true"/>
        <sz val="12"/>
        <color rgb="FF1F4E78"/>
        <rFont val="맑은 고딕"/>
        <family val="0"/>
        <charset val="1"/>
      </rPr>
      <t xml:space="preserve">[</t>
    </r>
    <r>
      <rPr>
        <b val="true"/>
        <sz val="12"/>
        <color rgb="FF1F4E78"/>
        <rFont val="DejaVu Sans"/>
        <family val="2"/>
      </rPr>
      <t xml:space="preserve">전체 통계</t>
    </r>
    <r>
      <rPr>
        <b val="true"/>
        <sz val="12"/>
        <color rgb="FF1F4E78"/>
        <rFont val="맑은 고딕"/>
        <family val="0"/>
        <charset val="1"/>
      </rPr>
      <t xml:space="preserve">]</t>
    </r>
  </si>
  <si>
    <t xml:space="preserve">상태</t>
  </si>
  <si>
    <t xml:space="preserve">건수</t>
  </si>
  <si>
    <t xml:space="preserve">비율</t>
  </si>
  <si>
    <t xml:space="preserve">의미</t>
  </si>
  <si>
    <r>
      <rPr>
        <sz val="11"/>
        <color theme="1"/>
        <rFont val="DejaVu Sans"/>
        <family val="2"/>
      </rPr>
      <t xml:space="preserve">구현완료</t>
    </r>
    <r>
      <rPr>
        <sz val="11"/>
        <color theme="1"/>
        <rFont val="Calibri"/>
        <family val="2"/>
        <charset val="1"/>
      </rPr>
      <t xml:space="preserve">: Figma</t>
    </r>
    <r>
      <rPr>
        <sz val="11"/>
        <color theme="1"/>
        <rFont val="DejaVu Sans"/>
        <family val="2"/>
      </rPr>
      <t xml:space="preserve">에 명확히 구현된 항목</t>
    </r>
  </si>
  <si>
    <r>
      <rPr>
        <sz val="11"/>
        <color theme="1"/>
        <rFont val="DejaVu Sans"/>
        <family val="2"/>
      </rPr>
      <t xml:space="preserve">부분구현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DejaVu Sans"/>
        <family val="2"/>
      </rPr>
      <t xml:space="preserve">유사 화면 존재하나 일부 기능 누락</t>
    </r>
  </si>
  <si>
    <r>
      <rPr>
        <sz val="11"/>
        <color theme="1"/>
        <rFont val="DejaVu Sans"/>
        <family val="2"/>
      </rPr>
      <t xml:space="preserve">미구현</t>
    </r>
    <r>
      <rPr>
        <sz val="11"/>
        <color theme="1"/>
        <rFont val="Calibri"/>
        <family val="2"/>
        <charset val="1"/>
      </rPr>
      <t xml:space="preserve">: Figma</t>
    </r>
    <r>
      <rPr>
        <sz val="11"/>
        <color theme="1"/>
        <rFont val="DejaVu Sans"/>
        <family val="2"/>
      </rPr>
      <t xml:space="preserve">에 해당 화면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기능 없음</t>
    </r>
  </si>
  <si>
    <r>
      <rPr>
        <sz val="11"/>
        <color theme="1"/>
        <rFont val="Calibri"/>
        <family val="2"/>
        <charset val="1"/>
      </rPr>
      <t xml:space="preserve">UI </t>
    </r>
    <r>
      <rPr>
        <sz val="11"/>
        <color theme="1"/>
        <rFont val="DejaVu Sans"/>
        <family val="2"/>
      </rPr>
      <t xml:space="preserve">비대상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DejaVu Sans"/>
        <family val="2"/>
      </rPr>
      <t xml:space="preserve">백엔드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기술 요건 </t>
    </r>
    <r>
      <rPr>
        <sz val="11"/>
        <color theme="1"/>
        <rFont val="Calibri"/>
        <family val="2"/>
        <charset val="1"/>
      </rPr>
      <t xml:space="preserve">(UI </t>
    </r>
    <r>
      <rPr>
        <sz val="11"/>
        <color theme="1"/>
        <rFont val="DejaVu Sans"/>
        <family val="2"/>
      </rPr>
      <t xml:space="preserve">매핑 제외</t>
    </r>
    <r>
      <rPr>
        <sz val="11"/>
        <color theme="1"/>
        <rFont val="Calibri"/>
        <family val="2"/>
        <charset val="1"/>
      </rPr>
      <t xml:space="preserve">)</t>
    </r>
  </si>
  <si>
    <t xml:space="preserve">총합</t>
  </si>
  <si>
    <t xml:space="preserve">요구사항 전체 건수</t>
  </si>
  <si>
    <r>
      <rPr>
        <b val="true"/>
        <sz val="12"/>
        <color rgb="FF1F4E78"/>
        <rFont val="맑은 고딕"/>
        <family val="0"/>
        <charset val="1"/>
      </rPr>
      <t xml:space="preserve">[</t>
    </r>
    <r>
      <rPr>
        <b val="true"/>
        <sz val="12"/>
        <color rgb="FF1F4E78"/>
        <rFont val="DejaVu Sans"/>
        <family val="2"/>
      </rPr>
      <t xml:space="preserve">주업무</t>
    </r>
    <r>
      <rPr>
        <b val="true"/>
        <sz val="12"/>
        <color rgb="FF1F4E78"/>
        <rFont val="맑은 고딕"/>
        <family val="0"/>
        <charset val="1"/>
      </rPr>
      <t xml:space="preserve">(LEVEL2)</t>
    </r>
    <r>
      <rPr>
        <b val="true"/>
        <sz val="12"/>
        <color rgb="FF1F4E78"/>
        <rFont val="DejaVu Sans"/>
        <family val="2"/>
      </rPr>
      <t xml:space="preserve">별 구현 현황</t>
    </r>
    <r>
      <rPr>
        <b val="true"/>
        <sz val="12"/>
        <color rgb="FF1F4E78"/>
        <rFont val="맑은 고딕"/>
        <family val="0"/>
        <charset val="1"/>
      </rPr>
      <t xml:space="preserve">]</t>
    </r>
  </si>
  <si>
    <t xml:space="preserve">전체</t>
  </si>
  <si>
    <r>
      <rPr>
        <b val="true"/>
        <sz val="11"/>
        <color rgb="FFFFFFFF"/>
        <rFont val="DejaVu Sans"/>
        <family val="2"/>
      </rPr>
      <t xml:space="preserve">구현률</t>
    </r>
    <r>
      <rPr>
        <b val="true"/>
        <sz val="11"/>
        <color rgb="FFFFFFFF"/>
        <rFont val="맑은 고딕"/>
        <family val="0"/>
        <charset val="1"/>
      </rPr>
      <t xml:space="preserve">(O+△)</t>
    </r>
  </si>
  <si>
    <r>
      <rPr>
        <sz val="11"/>
        <color theme="1"/>
        <rFont val="DejaVu Sans"/>
        <family val="2"/>
      </rPr>
      <t xml:space="preserve">데이터 분석</t>
    </r>
    <r>
      <rPr>
        <sz val="11"/>
        <color theme="1"/>
        <rFont val="Calibri"/>
        <family val="2"/>
        <charset val="1"/>
      </rPr>
      <t xml:space="preserve">(DS)</t>
    </r>
  </si>
  <si>
    <r>
      <rPr>
        <sz val="11"/>
        <color theme="1"/>
        <rFont val="DejaVu Sans"/>
        <family val="2"/>
      </rPr>
      <t xml:space="preserve">사용자 검토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수정</t>
    </r>
  </si>
  <si>
    <r>
      <rPr>
        <sz val="11"/>
        <color theme="1"/>
        <rFont val="Calibri"/>
        <family val="2"/>
        <charset val="1"/>
      </rPr>
      <t xml:space="preserve">UI/UX </t>
    </r>
    <r>
      <rPr>
        <sz val="11"/>
        <color theme="1"/>
        <rFont val="DejaVu Sans"/>
        <family val="2"/>
      </rPr>
      <t xml:space="preserve">기획</t>
    </r>
  </si>
  <si>
    <r>
      <rPr>
        <sz val="11"/>
        <color theme="1"/>
        <rFont val="Calibri"/>
        <family val="2"/>
        <charset val="1"/>
      </rPr>
      <t xml:space="preserve">UI/UX </t>
    </r>
    <r>
      <rPr>
        <sz val="11"/>
        <color theme="1"/>
        <rFont val="DejaVu Sans"/>
        <family val="2"/>
      </rPr>
      <t xml:space="preserve">디자인</t>
    </r>
  </si>
  <si>
    <r>
      <rPr>
        <b val="true"/>
        <sz val="14"/>
        <color rgb="FFFFFFFF"/>
        <rFont val="맑은 고딕"/>
        <family val="0"/>
        <charset val="1"/>
      </rPr>
      <t xml:space="preserve">Figma </t>
    </r>
    <r>
      <rPr>
        <b val="true"/>
        <sz val="14"/>
        <color rgb="FFFFFFFF"/>
        <rFont val="DejaVu Sans"/>
        <family val="2"/>
      </rPr>
      <t xml:space="preserve">미반영 </t>
    </r>
    <r>
      <rPr>
        <b val="true"/>
        <sz val="14"/>
        <color rgb="FFFFFFFF"/>
        <rFont val="맑은 고딕"/>
        <family val="0"/>
        <charset val="1"/>
      </rPr>
      <t xml:space="preserve">/ </t>
    </r>
    <r>
      <rPr>
        <b val="true"/>
        <sz val="14"/>
        <color rgb="FFFFFFFF"/>
        <rFont val="DejaVu Sans"/>
        <family val="2"/>
      </rPr>
      <t xml:space="preserve">부분구현 항목 </t>
    </r>
    <r>
      <rPr>
        <b val="true"/>
        <sz val="14"/>
        <color rgb="FFFFFFFF"/>
        <rFont val="맑은 고딕"/>
        <family val="0"/>
        <charset val="1"/>
      </rPr>
      <t xml:space="preserve">- </t>
    </r>
    <r>
      <rPr>
        <b val="true"/>
        <sz val="14"/>
        <color rgb="FFFFFFFF"/>
        <rFont val="DejaVu Sans"/>
        <family val="2"/>
      </rPr>
      <t xml:space="preserve">우선순위 개선 대상</t>
    </r>
  </si>
  <si>
    <t xml:space="preserve">주업무</t>
  </si>
  <si>
    <t xml:space="preserve">단위프로세스</t>
  </si>
  <si>
    <t xml:space="preserve">상세 설명</t>
  </si>
  <si>
    <r>
      <rPr>
        <b val="true"/>
        <sz val="11"/>
        <color rgb="FFFFFFFF"/>
        <rFont val="DejaVu Sans"/>
        <family val="2"/>
      </rPr>
      <t xml:space="preserve">비고 </t>
    </r>
    <r>
      <rPr>
        <b val="true"/>
        <sz val="11"/>
        <color rgb="FFFFFFFF"/>
        <rFont val="맑은 고딕"/>
        <family val="0"/>
        <charset val="1"/>
      </rPr>
      <t xml:space="preserve">/ Gap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</si>
</sst>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DejaVu Sans"/>
      <family val="2"/>
    </font>
    <font>
      <b val="true"/>
      <sz val="16"/>
      <color rgb="FFFFFFFF"/>
      <name val="맑은 고딕"/>
      <family val="0"/>
      <charset val="1"/>
    </font>
    <font>
      <i val="true"/>
      <sz val="10"/>
      <color rgb="FF595959"/>
      <name val="DejaVu Sans"/>
      <family val="2"/>
    </font>
    <font>
      <i val="true"/>
      <sz val="10"/>
      <color rgb="FF595959"/>
      <name val="맑은 고딕"/>
      <family val="0"/>
      <charset val="1"/>
    </font>
    <font>
      <sz val="10"/>
      <color rgb="FF595959"/>
      <name val="DejaVu Sans"/>
      <family val="2"/>
    </font>
    <font>
      <sz val="10"/>
      <color rgb="FF595959"/>
      <name val="맑은 고딕"/>
      <family val="0"/>
      <charset val="1"/>
    </font>
    <font>
      <b val="true"/>
      <sz val="11"/>
      <color rgb="FFFFFFFF"/>
      <name val="맑은 고딕"/>
      <family val="0"/>
      <charset val="1"/>
    </font>
    <font>
      <b val="true"/>
      <sz val="11"/>
      <color rgb="FFFFFFFF"/>
      <name val="DejaVu Sans"/>
      <family val="2"/>
    </font>
    <font>
      <sz val="10"/>
      <name val="맑은 고딕"/>
      <family val="0"/>
      <charset val="1"/>
    </font>
    <font>
      <sz val="10"/>
      <name val="DejaVu Sans"/>
      <family val="2"/>
    </font>
    <font>
      <b val="true"/>
      <sz val="11"/>
      <color rgb="FF9C5700"/>
      <name val="맑은 고딕"/>
      <family val="0"/>
      <charset val="1"/>
    </font>
    <font>
      <b val="true"/>
      <sz val="11"/>
      <color rgb="FF9C0006"/>
      <name val="맑은 고딕"/>
      <family val="0"/>
      <charset val="1"/>
    </font>
    <font>
      <b val="true"/>
      <sz val="11"/>
      <color rgb="FF006100"/>
      <name val="맑은 고딕"/>
      <family val="0"/>
      <charset val="1"/>
    </font>
    <font>
      <b val="true"/>
      <sz val="10"/>
      <color rgb="FF595959"/>
      <name val="맑은 고딕"/>
      <family val="0"/>
      <charset val="1"/>
    </font>
    <font>
      <b val="true"/>
      <sz val="14"/>
      <color rgb="FFFFFFFF"/>
      <name val="DejaVu Sans"/>
      <family val="2"/>
    </font>
    <font>
      <b val="true"/>
      <sz val="12"/>
      <color rgb="FF1F4E78"/>
      <name val="맑은 고딕"/>
      <family val="0"/>
      <charset val="1"/>
    </font>
    <font>
      <b val="true"/>
      <sz val="12"/>
      <color rgb="FF1F4E78"/>
      <name val="DejaVu Sans"/>
      <family val="2"/>
    </font>
    <font>
      <b val="true"/>
      <sz val="11"/>
      <name val="맑은 고딕"/>
      <family val="0"/>
      <charset val="1"/>
    </font>
    <font>
      <sz val="11"/>
      <color theme="1"/>
      <name val="DejaVu Sans"/>
      <family val="2"/>
    </font>
    <font>
      <b val="true"/>
      <sz val="11"/>
      <name val="DejaVu Sans"/>
      <family val="2"/>
    </font>
    <font>
      <b val="true"/>
      <sz val="14"/>
      <color rgb="FFFFFFFF"/>
      <name val="맑은 고딕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305496"/>
        <bgColor rgb="FF1F4E78"/>
      </patternFill>
    </fill>
    <fill>
      <patternFill patternType="solid">
        <fgColor rgb="FFFFFFFF"/>
        <bgColor rgb="FFF2F7FC"/>
      </patternFill>
    </fill>
    <fill>
      <patternFill patternType="solid">
        <fgColor rgb="FFFFEB9C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F2F7FC"/>
        <bgColor rgb="FFFFFFFF"/>
      </patternFill>
    </fill>
    <fill>
      <patternFill patternType="solid">
        <fgColor rgb="FFC6EFCE"/>
        <bgColor rgb="FFD9D9D9"/>
      </patternFill>
    </fill>
    <fill>
      <patternFill patternType="solid">
        <fgColor rgb="FFD9D9D9"/>
        <bgColor rgb="FFC6EFCE"/>
      </patternFill>
    </fill>
    <fill>
      <patternFill patternType="solid">
        <fgColor rgb="FFB4C6E7"/>
        <bgColor rgb="FFBFBFBF"/>
      </patternFill>
    </fill>
    <fill>
      <patternFill patternType="solid">
        <fgColor rgb="FFC00000"/>
        <bgColor rgb="FF9C000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305496"/>
          <bgColor rgb="FF000000"/>
        </patternFill>
      </fill>
    </dxf>
    <dxf>
      <fill>
        <patternFill patternType="solid">
          <fgColor rgb="FFF2F7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8EA9DB"/>
      <rgbColor rgb="FF993366"/>
      <rgbColor rgb="FFF2F7FC"/>
      <rgbColor rgb="FFD9D9D9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78"/>
      <rgbColor rgb="FF339966"/>
      <rgbColor rgb="FF003300"/>
      <rgbColor rgb="FF333300"/>
      <rgbColor rgb="FF9C57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38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28"/>
    <col collapsed="false" customWidth="true" hidden="false" outlineLevel="0" max="9" min="9" style="0" width="4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2.6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2.6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5" customFormat="false" ht="36" hidden="false" customHeight="tru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4" t="s">
        <v>8</v>
      </c>
      <c r="G5" s="5" t="s">
        <v>9</v>
      </c>
      <c r="H5" s="4" t="s">
        <v>10</v>
      </c>
      <c r="I5" s="5" t="s">
        <v>11</v>
      </c>
    </row>
    <row r="6" customFormat="false" ht="37.5" hidden="false" customHeight="true" outlineLevel="0" collapsed="false">
      <c r="A6" s="6" t="n">
        <v>1</v>
      </c>
      <c r="B6" s="7" t="s">
        <v>12</v>
      </c>
      <c r="C6" s="7" t="s">
        <v>13</v>
      </c>
      <c r="D6" s="7" t="s">
        <v>14</v>
      </c>
      <c r="E6" s="7" t="s">
        <v>15</v>
      </c>
      <c r="F6" s="8" t="s">
        <v>16</v>
      </c>
      <c r="G6" s="9" t="s">
        <v>17</v>
      </c>
      <c r="H6" s="7" t="s">
        <v>18</v>
      </c>
      <c r="I6" s="7" t="s">
        <v>19</v>
      </c>
    </row>
    <row r="7" customFormat="false" ht="37.5" hidden="false" customHeight="true" outlineLevel="0" collapsed="false">
      <c r="A7" s="6" t="n">
        <v>2</v>
      </c>
      <c r="B7" s="7" t="s">
        <v>20</v>
      </c>
      <c r="C7" s="7" t="s">
        <v>21</v>
      </c>
      <c r="D7" s="7" t="s">
        <v>22</v>
      </c>
      <c r="E7" s="7" t="s">
        <v>23</v>
      </c>
      <c r="F7" s="8" t="s">
        <v>24</v>
      </c>
      <c r="G7" s="10" t="s">
        <v>25</v>
      </c>
      <c r="H7" s="11" t="s">
        <v>26</v>
      </c>
      <c r="I7" s="7" t="s">
        <v>27</v>
      </c>
    </row>
    <row r="8" customFormat="false" ht="37.5" hidden="false" customHeight="true" outlineLevel="0" collapsed="false">
      <c r="A8" s="6" t="n">
        <v>3</v>
      </c>
      <c r="B8" s="7" t="s">
        <v>20</v>
      </c>
      <c r="C8" s="7" t="s">
        <v>21</v>
      </c>
      <c r="D8" s="7" t="s">
        <v>28</v>
      </c>
      <c r="E8" s="7" t="s">
        <v>29</v>
      </c>
      <c r="F8" s="8" t="s">
        <v>24</v>
      </c>
      <c r="G8" s="10" t="s">
        <v>25</v>
      </c>
      <c r="H8" s="11" t="s">
        <v>26</v>
      </c>
      <c r="I8" s="7" t="s">
        <v>30</v>
      </c>
    </row>
    <row r="9" customFormat="false" ht="37.5" hidden="false" customHeight="true" outlineLevel="0" collapsed="false">
      <c r="A9" s="12" t="n">
        <v>4</v>
      </c>
      <c r="B9" s="13" t="s">
        <v>31</v>
      </c>
      <c r="C9" s="13" t="s">
        <v>32</v>
      </c>
      <c r="D9" s="13" t="s">
        <v>33</v>
      </c>
      <c r="E9" s="13" t="s">
        <v>34</v>
      </c>
      <c r="F9" s="14" t="s">
        <v>35</v>
      </c>
      <c r="G9" s="9" t="s">
        <v>17</v>
      </c>
      <c r="H9" s="13" t="s">
        <v>36</v>
      </c>
      <c r="I9" s="13" t="s">
        <v>37</v>
      </c>
    </row>
    <row r="10" customFormat="false" ht="37.5" hidden="false" customHeight="true" outlineLevel="0" collapsed="false">
      <c r="A10" s="12" t="n">
        <v>5</v>
      </c>
      <c r="B10" s="13" t="s">
        <v>31</v>
      </c>
      <c r="C10" s="13" t="s">
        <v>32</v>
      </c>
      <c r="D10" s="13" t="s">
        <v>38</v>
      </c>
      <c r="E10" s="13" t="s">
        <v>39</v>
      </c>
      <c r="F10" s="14" t="s">
        <v>35</v>
      </c>
      <c r="G10" s="15" t="s">
        <v>40</v>
      </c>
      <c r="H10" s="13" t="s">
        <v>41</v>
      </c>
      <c r="I10" s="13" t="s">
        <v>42</v>
      </c>
    </row>
    <row r="11" customFormat="false" ht="37.5" hidden="false" customHeight="true" outlineLevel="0" collapsed="false">
      <c r="A11" s="12" t="n">
        <v>6</v>
      </c>
      <c r="B11" s="13" t="s">
        <v>31</v>
      </c>
      <c r="C11" s="13" t="s">
        <v>32</v>
      </c>
      <c r="D11" s="13" t="s">
        <v>43</v>
      </c>
      <c r="E11" s="13" t="s">
        <v>44</v>
      </c>
      <c r="F11" s="14" t="s">
        <v>35</v>
      </c>
      <c r="G11" s="9" t="s">
        <v>17</v>
      </c>
      <c r="H11" s="13" t="s">
        <v>45</v>
      </c>
      <c r="I11" s="13" t="s">
        <v>46</v>
      </c>
    </row>
    <row r="12" customFormat="false" ht="37.5" hidden="false" customHeight="true" outlineLevel="0" collapsed="false">
      <c r="A12" s="12" t="n">
        <v>7</v>
      </c>
      <c r="B12" s="13" t="s">
        <v>31</v>
      </c>
      <c r="C12" s="13" t="s">
        <v>32</v>
      </c>
      <c r="D12" s="13" t="s">
        <v>47</v>
      </c>
      <c r="E12" s="16" t="s">
        <v>48</v>
      </c>
      <c r="F12" s="14" t="s">
        <v>35</v>
      </c>
      <c r="G12" s="10" t="s">
        <v>25</v>
      </c>
      <c r="H12" s="16" t="s">
        <v>26</v>
      </c>
      <c r="I12" s="13" t="s">
        <v>49</v>
      </c>
    </row>
    <row r="13" customFormat="false" ht="37.5" hidden="false" customHeight="true" outlineLevel="0" collapsed="false">
      <c r="A13" s="12" t="n">
        <v>8</v>
      </c>
      <c r="B13" s="13" t="s">
        <v>31</v>
      </c>
      <c r="C13" s="13" t="s">
        <v>32</v>
      </c>
      <c r="D13" s="13" t="s">
        <v>50</v>
      </c>
      <c r="E13" s="16" t="s">
        <v>51</v>
      </c>
      <c r="F13" s="14" t="s">
        <v>35</v>
      </c>
      <c r="G13" s="9" t="s">
        <v>17</v>
      </c>
      <c r="H13" s="13" t="s">
        <v>41</v>
      </c>
      <c r="I13" s="13" t="s">
        <v>52</v>
      </c>
    </row>
    <row r="14" customFormat="false" ht="37.5" hidden="false" customHeight="true" outlineLevel="0" collapsed="false">
      <c r="A14" s="12" t="n">
        <v>9</v>
      </c>
      <c r="B14" s="13" t="s">
        <v>31</v>
      </c>
      <c r="C14" s="13" t="s">
        <v>32</v>
      </c>
      <c r="D14" s="13" t="s">
        <v>53</v>
      </c>
      <c r="E14" s="13" t="s">
        <v>54</v>
      </c>
      <c r="F14" s="14" t="s">
        <v>35</v>
      </c>
      <c r="G14" s="15" t="s">
        <v>40</v>
      </c>
      <c r="H14" s="13" t="s">
        <v>55</v>
      </c>
      <c r="I14" s="13" t="s">
        <v>56</v>
      </c>
    </row>
    <row r="15" customFormat="false" ht="37.5" hidden="false" customHeight="true" outlineLevel="0" collapsed="false">
      <c r="A15" s="12" t="n">
        <v>10</v>
      </c>
      <c r="B15" s="13" t="s">
        <v>31</v>
      </c>
      <c r="C15" s="13" t="s">
        <v>32</v>
      </c>
      <c r="D15" s="13" t="s">
        <v>57</v>
      </c>
      <c r="E15" s="13" t="s">
        <v>58</v>
      </c>
      <c r="F15" s="14" t="s">
        <v>35</v>
      </c>
      <c r="G15" s="17" t="s">
        <v>59</v>
      </c>
      <c r="H15" s="16" t="s">
        <v>26</v>
      </c>
      <c r="I15" s="13" t="s">
        <v>60</v>
      </c>
    </row>
    <row r="16" customFormat="false" ht="37.5" hidden="false" customHeight="true" outlineLevel="0" collapsed="false">
      <c r="A16" s="12" t="n">
        <v>11</v>
      </c>
      <c r="B16" s="13" t="s">
        <v>31</v>
      </c>
      <c r="C16" s="13" t="s">
        <v>32</v>
      </c>
      <c r="D16" s="13" t="s">
        <v>61</v>
      </c>
      <c r="E16" s="13" t="s">
        <v>62</v>
      </c>
      <c r="F16" s="14" t="s">
        <v>35</v>
      </c>
      <c r="G16" s="9" t="s">
        <v>17</v>
      </c>
      <c r="H16" s="13" t="s">
        <v>41</v>
      </c>
      <c r="I16" s="13" t="s">
        <v>63</v>
      </c>
    </row>
    <row r="17" customFormat="false" ht="37.5" hidden="false" customHeight="true" outlineLevel="0" collapsed="false">
      <c r="A17" s="12" t="n">
        <v>12</v>
      </c>
      <c r="B17" s="13" t="s">
        <v>31</v>
      </c>
      <c r="C17" s="13" t="s">
        <v>32</v>
      </c>
      <c r="D17" s="13" t="s">
        <v>64</v>
      </c>
      <c r="E17" s="13" t="s">
        <v>65</v>
      </c>
      <c r="F17" s="14" t="s">
        <v>35</v>
      </c>
      <c r="G17" s="10" t="s">
        <v>25</v>
      </c>
      <c r="H17" s="16" t="s">
        <v>26</v>
      </c>
      <c r="I17" s="13" t="s">
        <v>66</v>
      </c>
    </row>
    <row r="18" customFormat="false" ht="37.5" hidden="false" customHeight="true" outlineLevel="0" collapsed="false">
      <c r="A18" s="12" t="n">
        <v>13</v>
      </c>
      <c r="B18" s="13" t="s">
        <v>31</v>
      </c>
      <c r="C18" s="13" t="s">
        <v>32</v>
      </c>
      <c r="D18" s="13" t="s">
        <v>67</v>
      </c>
      <c r="E18" s="13" t="s">
        <v>68</v>
      </c>
      <c r="F18" s="14" t="s">
        <v>35</v>
      </c>
      <c r="G18" s="10" t="s">
        <v>25</v>
      </c>
      <c r="H18" s="16" t="s">
        <v>26</v>
      </c>
      <c r="I18" s="13" t="s">
        <v>69</v>
      </c>
    </row>
    <row r="19" customFormat="false" ht="37.5" hidden="false" customHeight="true" outlineLevel="0" collapsed="false">
      <c r="A19" s="12" t="n">
        <v>14</v>
      </c>
      <c r="B19" s="13" t="s">
        <v>31</v>
      </c>
      <c r="C19" s="13" t="s">
        <v>32</v>
      </c>
      <c r="D19" s="13" t="s">
        <v>70</v>
      </c>
      <c r="E19" s="13" t="s">
        <v>71</v>
      </c>
      <c r="F19" s="14" t="s">
        <v>35</v>
      </c>
      <c r="G19" s="17" t="s">
        <v>59</v>
      </c>
      <c r="H19" s="16" t="s">
        <v>26</v>
      </c>
      <c r="I19" s="13" t="s">
        <v>60</v>
      </c>
    </row>
    <row r="20" customFormat="false" ht="37.5" hidden="false" customHeight="true" outlineLevel="0" collapsed="false">
      <c r="A20" s="12" t="n">
        <v>15</v>
      </c>
      <c r="B20" s="13" t="s">
        <v>31</v>
      </c>
      <c r="C20" s="13" t="s">
        <v>32</v>
      </c>
      <c r="D20" s="13" t="s">
        <v>72</v>
      </c>
      <c r="E20" s="13" t="s">
        <v>73</v>
      </c>
      <c r="F20" s="14" t="s">
        <v>35</v>
      </c>
      <c r="G20" s="9" t="s">
        <v>17</v>
      </c>
      <c r="H20" s="13" t="s">
        <v>41</v>
      </c>
      <c r="I20" s="13" t="s">
        <v>74</v>
      </c>
    </row>
    <row r="21" customFormat="false" ht="37.5" hidden="false" customHeight="true" outlineLevel="0" collapsed="false">
      <c r="A21" s="12" t="n">
        <v>16</v>
      </c>
      <c r="B21" s="13" t="s">
        <v>31</v>
      </c>
      <c r="C21" s="13" t="s">
        <v>32</v>
      </c>
      <c r="D21" s="13" t="s">
        <v>75</v>
      </c>
      <c r="E21" s="13" t="s">
        <v>76</v>
      </c>
      <c r="F21" s="14" t="s">
        <v>35</v>
      </c>
      <c r="G21" s="9" t="s">
        <v>17</v>
      </c>
      <c r="H21" s="13" t="s">
        <v>41</v>
      </c>
      <c r="I21" s="13" t="s">
        <v>77</v>
      </c>
    </row>
    <row r="22" customFormat="false" ht="37.5" hidden="false" customHeight="true" outlineLevel="0" collapsed="false">
      <c r="A22" s="6" t="n">
        <v>17</v>
      </c>
      <c r="B22" s="7" t="s">
        <v>78</v>
      </c>
      <c r="C22" s="7" t="s">
        <v>79</v>
      </c>
      <c r="D22" s="7" t="s">
        <v>80</v>
      </c>
      <c r="E22" s="7" t="s">
        <v>81</v>
      </c>
      <c r="F22" s="8" t="s">
        <v>82</v>
      </c>
      <c r="G22" s="9" t="s">
        <v>17</v>
      </c>
      <c r="H22" s="7" t="s">
        <v>83</v>
      </c>
      <c r="I22" s="7" t="s">
        <v>84</v>
      </c>
    </row>
    <row r="23" customFormat="false" ht="37.5" hidden="false" customHeight="true" outlineLevel="0" collapsed="false">
      <c r="A23" s="6" t="n">
        <v>18</v>
      </c>
      <c r="B23" s="7" t="s">
        <v>78</v>
      </c>
      <c r="C23" s="7" t="s">
        <v>79</v>
      </c>
      <c r="D23" s="7" t="s">
        <v>85</v>
      </c>
      <c r="E23" s="7" t="s">
        <v>86</v>
      </c>
      <c r="F23" s="8" t="s">
        <v>82</v>
      </c>
      <c r="G23" s="9" t="s">
        <v>17</v>
      </c>
      <c r="H23" s="7" t="s">
        <v>87</v>
      </c>
      <c r="I23" s="7" t="s">
        <v>88</v>
      </c>
    </row>
    <row r="24" customFormat="false" ht="37.5" hidden="false" customHeight="true" outlineLevel="0" collapsed="false">
      <c r="A24" s="6" t="n">
        <v>19</v>
      </c>
      <c r="B24" s="7" t="s">
        <v>78</v>
      </c>
      <c r="C24" s="7" t="s">
        <v>79</v>
      </c>
      <c r="D24" s="7" t="s">
        <v>89</v>
      </c>
      <c r="E24" s="7" t="s">
        <v>90</v>
      </c>
      <c r="F24" s="8" t="s">
        <v>82</v>
      </c>
      <c r="G24" s="10" t="s">
        <v>25</v>
      </c>
      <c r="H24" s="11" t="s">
        <v>26</v>
      </c>
      <c r="I24" s="7" t="s">
        <v>91</v>
      </c>
    </row>
    <row r="25" customFormat="false" ht="37.5" hidden="false" customHeight="true" outlineLevel="0" collapsed="false">
      <c r="A25" s="6" t="n">
        <v>20</v>
      </c>
      <c r="B25" s="7" t="s">
        <v>78</v>
      </c>
      <c r="C25" s="7" t="s">
        <v>79</v>
      </c>
      <c r="D25" s="7" t="s">
        <v>92</v>
      </c>
      <c r="E25" s="7" t="s">
        <v>93</v>
      </c>
      <c r="F25" s="8" t="s">
        <v>82</v>
      </c>
      <c r="G25" s="15" t="s">
        <v>40</v>
      </c>
      <c r="H25" s="7" t="s">
        <v>94</v>
      </c>
      <c r="I25" s="7" t="s">
        <v>95</v>
      </c>
    </row>
    <row r="26" customFormat="false" ht="37.5" hidden="false" customHeight="true" outlineLevel="0" collapsed="false">
      <c r="A26" s="6" t="n">
        <v>21</v>
      </c>
      <c r="B26" s="7" t="s">
        <v>78</v>
      </c>
      <c r="C26" s="7" t="s">
        <v>79</v>
      </c>
      <c r="D26" s="7" t="s">
        <v>96</v>
      </c>
      <c r="E26" s="7" t="s">
        <v>97</v>
      </c>
      <c r="F26" s="8" t="s">
        <v>82</v>
      </c>
      <c r="G26" s="9" t="s">
        <v>17</v>
      </c>
      <c r="H26" s="7" t="s">
        <v>98</v>
      </c>
      <c r="I26" s="7" t="s">
        <v>99</v>
      </c>
    </row>
    <row r="27" customFormat="false" ht="37.5" hidden="false" customHeight="true" outlineLevel="0" collapsed="false">
      <c r="A27" s="6" t="n">
        <v>22</v>
      </c>
      <c r="B27" s="7" t="s">
        <v>78</v>
      </c>
      <c r="C27" s="7" t="s">
        <v>79</v>
      </c>
      <c r="D27" s="7" t="s">
        <v>100</v>
      </c>
      <c r="E27" s="11" t="s">
        <v>101</v>
      </c>
      <c r="F27" s="8" t="s">
        <v>82</v>
      </c>
      <c r="G27" s="17" t="s">
        <v>59</v>
      </c>
      <c r="H27" s="11" t="s">
        <v>26</v>
      </c>
      <c r="I27" s="7" t="s">
        <v>60</v>
      </c>
    </row>
    <row r="28" customFormat="false" ht="37.5" hidden="false" customHeight="true" outlineLevel="0" collapsed="false">
      <c r="A28" s="6" t="n">
        <v>23</v>
      </c>
      <c r="B28" s="7" t="s">
        <v>78</v>
      </c>
      <c r="C28" s="7" t="s">
        <v>79</v>
      </c>
      <c r="D28" s="7" t="s">
        <v>102</v>
      </c>
      <c r="E28" s="7" t="s">
        <v>103</v>
      </c>
      <c r="F28" s="8" t="s">
        <v>82</v>
      </c>
      <c r="G28" s="17" t="s">
        <v>59</v>
      </c>
      <c r="H28" s="11" t="s">
        <v>26</v>
      </c>
      <c r="I28" s="7" t="s">
        <v>60</v>
      </c>
    </row>
    <row r="29" customFormat="false" ht="37.5" hidden="false" customHeight="true" outlineLevel="0" collapsed="false">
      <c r="A29" s="6" t="n">
        <v>24</v>
      </c>
      <c r="B29" s="7" t="s">
        <v>78</v>
      </c>
      <c r="C29" s="7" t="s">
        <v>79</v>
      </c>
      <c r="D29" s="7" t="s">
        <v>104</v>
      </c>
      <c r="E29" s="11" t="s">
        <v>105</v>
      </c>
      <c r="F29" s="8" t="s">
        <v>82</v>
      </c>
      <c r="G29" s="17" t="s">
        <v>59</v>
      </c>
      <c r="H29" s="11" t="s">
        <v>26</v>
      </c>
      <c r="I29" s="7" t="s">
        <v>60</v>
      </c>
    </row>
    <row r="30" customFormat="false" ht="37.5" hidden="false" customHeight="true" outlineLevel="0" collapsed="false">
      <c r="A30" s="6" t="n">
        <v>25</v>
      </c>
      <c r="B30" s="7" t="s">
        <v>78</v>
      </c>
      <c r="C30" s="7" t="s">
        <v>79</v>
      </c>
      <c r="D30" s="7" t="s">
        <v>106</v>
      </c>
      <c r="E30" s="11" t="s">
        <v>107</v>
      </c>
      <c r="F30" s="8" t="s">
        <v>82</v>
      </c>
      <c r="G30" s="17" t="s">
        <v>59</v>
      </c>
      <c r="H30" s="11" t="s">
        <v>26</v>
      </c>
      <c r="I30" s="7" t="s">
        <v>60</v>
      </c>
    </row>
    <row r="31" customFormat="false" ht="37.5" hidden="false" customHeight="true" outlineLevel="0" collapsed="false">
      <c r="A31" s="6" t="n">
        <v>26</v>
      </c>
      <c r="B31" s="7" t="s">
        <v>78</v>
      </c>
      <c r="C31" s="7" t="s">
        <v>79</v>
      </c>
      <c r="D31" s="7" t="s">
        <v>108</v>
      </c>
      <c r="E31" s="11" t="s">
        <v>109</v>
      </c>
      <c r="F31" s="8" t="s">
        <v>82</v>
      </c>
      <c r="G31" s="17" t="s">
        <v>59</v>
      </c>
      <c r="H31" s="11" t="s">
        <v>26</v>
      </c>
      <c r="I31" s="7" t="s">
        <v>60</v>
      </c>
    </row>
    <row r="32" customFormat="false" ht="37.5" hidden="false" customHeight="true" outlineLevel="0" collapsed="false">
      <c r="A32" s="6" t="n">
        <v>27</v>
      </c>
      <c r="B32" s="7" t="s">
        <v>78</v>
      </c>
      <c r="C32" s="7" t="s">
        <v>79</v>
      </c>
      <c r="D32" s="7" t="s">
        <v>110</v>
      </c>
      <c r="E32" s="7" t="s">
        <v>111</v>
      </c>
      <c r="F32" s="8" t="s">
        <v>82</v>
      </c>
      <c r="G32" s="10" t="s">
        <v>25</v>
      </c>
      <c r="H32" s="11" t="s">
        <v>26</v>
      </c>
      <c r="I32" s="7" t="s">
        <v>112</v>
      </c>
    </row>
    <row r="33" customFormat="false" ht="37.5" hidden="false" customHeight="true" outlineLevel="0" collapsed="false">
      <c r="A33" s="6" t="n">
        <v>28</v>
      </c>
      <c r="B33" s="7" t="s">
        <v>113</v>
      </c>
      <c r="C33" s="7" t="s">
        <v>114</v>
      </c>
      <c r="D33" s="7" t="s">
        <v>115</v>
      </c>
      <c r="E33" s="11" t="s">
        <v>116</v>
      </c>
      <c r="F33" s="8" t="s">
        <v>117</v>
      </c>
      <c r="G33" s="9" t="s">
        <v>17</v>
      </c>
      <c r="H33" s="7" t="s">
        <v>118</v>
      </c>
      <c r="I33" s="7" t="s">
        <v>119</v>
      </c>
    </row>
    <row r="34" customFormat="false" ht="37.5" hidden="false" customHeight="true" outlineLevel="0" collapsed="false">
      <c r="A34" s="6" t="n">
        <v>29</v>
      </c>
      <c r="B34" s="7" t="s">
        <v>113</v>
      </c>
      <c r="C34" s="7" t="s">
        <v>114</v>
      </c>
      <c r="D34" s="7" t="s">
        <v>120</v>
      </c>
      <c r="E34" s="7" t="s">
        <v>121</v>
      </c>
      <c r="F34" s="8" t="s">
        <v>117</v>
      </c>
      <c r="G34" s="15" t="s">
        <v>40</v>
      </c>
      <c r="H34" s="7" t="s">
        <v>122</v>
      </c>
      <c r="I34" s="11" t="s">
        <v>123</v>
      </c>
    </row>
    <row r="35" customFormat="false" ht="37.5" hidden="false" customHeight="true" outlineLevel="0" collapsed="false">
      <c r="A35" s="6" t="n">
        <v>30</v>
      </c>
      <c r="B35" s="7" t="s">
        <v>113</v>
      </c>
      <c r="C35" s="7" t="s">
        <v>114</v>
      </c>
      <c r="D35" s="7" t="s">
        <v>124</v>
      </c>
      <c r="E35" s="7" t="s">
        <v>125</v>
      </c>
      <c r="F35" s="8" t="s">
        <v>117</v>
      </c>
      <c r="G35" s="15" t="s">
        <v>40</v>
      </c>
      <c r="H35" s="7" t="s">
        <v>126</v>
      </c>
      <c r="I35" s="7" t="s">
        <v>127</v>
      </c>
    </row>
    <row r="36" customFormat="false" ht="37.5" hidden="false" customHeight="true" outlineLevel="0" collapsed="false">
      <c r="A36" s="6" t="n">
        <v>31</v>
      </c>
      <c r="B36" s="7" t="s">
        <v>113</v>
      </c>
      <c r="C36" s="7" t="s">
        <v>114</v>
      </c>
      <c r="D36" s="7" t="s">
        <v>128</v>
      </c>
      <c r="E36" s="7" t="s">
        <v>129</v>
      </c>
      <c r="F36" s="8" t="s">
        <v>117</v>
      </c>
      <c r="G36" s="9" t="s">
        <v>17</v>
      </c>
      <c r="H36" s="7" t="s">
        <v>130</v>
      </c>
      <c r="I36" s="7" t="s">
        <v>131</v>
      </c>
    </row>
    <row r="37" customFormat="false" ht="37.5" hidden="false" customHeight="true" outlineLevel="0" collapsed="false">
      <c r="A37" s="6" t="n">
        <v>32</v>
      </c>
      <c r="B37" s="7" t="s">
        <v>113</v>
      </c>
      <c r="C37" s="7" t="s">
        <v>114</v>
      </c>
      <c r="D37" s="7" t="s">
        <v>132</v>
      </c>
      <c r="E37" s="11" t="s">
        <v>133</v>
      </c>
      <c r="F37" s="8" t="s">
        <v>117</v>
      </c>
      <c r="G37" s="9" t="s">
        <v>17</v>
      </c>
      <c r="H37" s="7" t="s">
        <v>134</v>
      </c>
      <c r="I37" s="7" t="s">
        <v>135</v>
      </c>
    </row>
    <row r="38" customFormat="false" ht="37.5" hidden="false" customHeight="true" outlineLevel="0" collapsed="false">
      <c r="A38" s="6" t="n">
        <v>33</v>
      </c>
      <c r="B38" s="7" t="s">
        <v>113</v>
      </c>
      <c r="C38" s="7" t="s">
        <v>114</v>
      </c>
      <c r="D38" s="7" t="s">
        <v>136</v>
      </c>
      <c r="E38" s="7" t="s">
        <v>137</v>
      </c>
      <c r="F38" s="8" t="s">
        <v>117</v>
      </c>
      <c r="G38" s="15" t="s">
        <v>40</v>
      </c>
      <c r="H38" s="7" t="s">
        <v>138</v>
      </c>
      <c r="I38" s="7" t="s">
        <v>139</v>
      </c>
    </row>
    <row r="39" customFormat="false" ht="37.5" hidden="false" customHeight="true" outlineLevel="0" collapsed="false">
      <c r="A39" s="6" t="n">
        <v>34</v>
      </c>
      <c r="B39" s="7" t="s">
        <v>113</v>
      </c>
      <c r="C39" s="7" t="s">
        <v>114</v>
      </c>
      <c r="D39" s="7" t="s">
        <v>140</v>
      </c>
      <c r="E39" s="7" t="s">
        <v>141</v>
      </c>
      <c r="F39" s="8" t="s">
        <v>117</v>
      </c>
      <c r="G39" s="10" t="s">
        <v>25</v>
      </c>
      <c r="H39" s="11" t="s">
        <v>26</v>
      </c>
      <c r="I39" s="7" t="s">
        <v>142</v>
      </c>
    </row>
    <row r="40" customFormat="false" ht="37.5" hidden="false" customHeight="true" outlineLevel="0" collapsed="false">
      <c r="A40" s="6" t="n">
        <v>35</v>
      </c>
      <c r="B40" s="7" t="s">
        <v>113</v>
      </c>
      <c r="C40" s="7" t="s">
        <v>114</v>
      </c>
      <c r="D40" s="7" t="s">
        <v>143</v>
      </c>
      <c r="E40" s="7" t="s">
        <v>144</v>
      </c>
      <c r="F40" s="8" t="s">
        <v>117</v>
      </c>
      <c r="G40" s="15" t="s">
        <v>40</v>
      </c>
      <c r="H40" s="7" t="s">
        <v>145</v>
      </c>
      <c r="I40" s="7" t="s">
        <v>146</v>
      </c>
    </row>
    <row r="41" customFormat="false" ht="37.5" hidden="false" customHeight="true" outlineLevel="0" collapsed="false">
      <c r="A41" s="6" t="n">
        <v>36</v>
      </c>
      <c r="B41" s="7" t="s">
        <v>113</v>
      </c>
      <c r="C41" s="7" t="s">
        <v>114</v>
      </c>
      <c r="D41" s="7" t="s">
        <v>147</v>
      </c>
      <c r="E41" s="7" t="s">
        <v>148</v>
      </c>
      <c r="F41" s="8" t="s">
        <v>117</v>
      </c>
      <c r="G41" s="15" t="s">
        <v>40</v>
      </c>
      <c r="H41" s="7" t="s">
        <v>149</v>
      </c>
      <c r="I41" s="11" t="s">
        <v>150</v>
      </c>
    </row>
    <row r="42" customFormat="false" ht="37.5" hidden="false" customHeight="true" outlineLevel="0" collapsed="false">
      <c r="A42" s="6" t="n">
        <v>37</v>
      </c>
      <c r="B42" s="7" t="s">
        <v>113</v>
      </c>
      <c r="C42" s="7" t="s">
        <v>114</v>
      </c>
      <c r="D42" s="7" t="s">
        <v>151</v>
      </c>
      <c r="E42" s="7" t="s">
        <v>152</v>
      </c>
      <c r="F42" s="8" t="s">
        <v>117</v>
      </c>
      <c r="G42" s="15" t="s">
        <v>40</v>
      </c>
      <c r="H42" s="7" t="s">
        <v>153</v>
      </c>
      <c r="I42" s="7" t="s">
        <v>154</v>
      </c>
    </row>
    <row r="43" customFormat="false" ht="37.5" hidden="false" customHeight="true" outlineLevel="0" collapsed="false">
      <c r="A43" s="6" t="n">
        <v>38</v>
      </c>
      <c r="B43" s="7" t="s">
        <v>113</v>
      </c>
      <c r="C43" s="7" t="s">
        <v>114</v>
      </c>
      <c r="D43" s="7" t="s">
        <v>155</v>
      </c>
      <c r="E43" s="7" t="s">
        <v>156</v>
      </c>
      <c r="F43" s="8" t="s">
        <v>117</v>
      </c>
      <c r="G43" s="15" t="s">
        <v>40</v>
      </c>
      <c r="H43" s="7" t="s">
        <v>157</v>
      </c>
      <c r="I43" s="11" t="s">
        <v>158</v>
      </c>
    </row>
    <row r="44" customFormat="false" ht="37.5" hidden="false" customHeight="true" outlineLevel="0" collapsed="false">
      <c r="A44" s="6" t="n">
        <v>39</v>
      </c>
      <c r="B44" s="7" t="s">
        <v>113</v>
      </c>
      <c r="C44" s="7" t="s">
        <v>114</v>
      </c>
      <c r="D44" s="7" t="s">
        <v>159</v>
      </c>
      <c r="E44" s="7" t="s">
        <v>160</v>
      </c>
      <c r="F44" s="8" t="s">
        <v>117</v>
      </c>
      <c r="G44" s="10" t="s">
        <v>25</v>
      </c>
      <c r="H44" s="11" t="s">
        <v>26</v>
      </c>
      <c r="I44" s="7" t="s">
        <v>161</v>
      </c>
    </row>
    <row r="45" customFormat="false" ht="37.5" hidden="false" customHeight="true" outlineLevel="0" collapsed="false">
      <c r="A45" s="6" t="n">
        <v>40</v>
      </c>
      <c r="B45" s="7" t="s">
        <v>113</v>
      </c>
      <c r="C45" s="7" t="s">
        <v>114</v>
      </c>
      <c r="D45" s="7" t="s">
        <v>162</v>
      </c>
      <c r="E45" s="7" t="s">
        <v>163</v>
      </c>
      <c r="F45" s="8" t="s">
        <v>117</v>
      </c>
      <c r="G45" s="10" t="s">
        <v>25</v>
      </c>
      <c r="H45" s="11" t="s">
        <v>26</v>
      </c>
      <c r="I45" s="7" t="s">
        <v>164</v>
      </c>
    </row>
    <row r="46" customFormat="false" ht="37.5" hidden="false" customHeight="true" outlineLevel="0" collapsed="false">
      <c r="A46" s="6" t="n">
        <v>41</v>
      </c>
      <c r="B46" s="7" t="s">
        <v>113</v>
      </c>
      <c r="C46" s="7" t="s">
        <v>114</v>
      </c>
      <c r="D46" s="7" t="s">
        <v>165</v>
      </c>
      <c r="E46" s="7" t="s">
        <v>166</v>
      </c>
      <c r="F46" s="8" t="s">
        <v>117</v>
      </c>
      <c r="G46" s="15" t="s">
        <v>40</v>
      </c>
      <c r="H46" s="7" t="s">
        <v>167</v>
      </c>
      <c r="I46" s="11" t="s">
        <v>150</v>
      </c>
    </row>
    <row r="47" customFormat="false" ht="37.5" hidden="false" customHeight="true" outlineLevel="0" collapsed="false">
      <c r="A47" s="6" t="n">
        <v>42</v>
      </c>
      <c r="B47" s="7" t="s">
        <v>113</v>
      </c>
      <c r="C47" s="7" t="s">
        <v>114</v>
      </c>
      <c r="D47" s="7" t="s">
        <v>168</v>
      </c>
      <c r="E47" s="7" t="s">
        <v>169</v>
      </c>
      <c r="F47" s="8" t="s">
        <v>117</v>
      </c>
      <c r="G47" s="9" t="s">
        <v>17</v>
      </c>
      <c r="H47" s="7" t="s">
        <v>170</v>
      </c>
      <c r="I47" s="7" t="s">
        <v>171</v>
      </c>
    </row>
    <row r="48" customFormat="false" ht="37.5" hidden="false" customHeight="true" outlineLevel="0" collapsed="false">
      <c r="A48" s="6" t="n">
        <v>43</v>
      </c>
      <c r="B48" s="7" t="s">
        <v>113</v>
      </c>
      <c r="C48" s="7" t="s">
        <v>114</v>
      </c>
      <c r="D48" s="7" t="s">
        <v>172</v>
      </c>
      <c r="E48" s="7" t="s">
        <v>173</v>
      </c>
      <c r="F48" s="8" t="s">
        <v>117</v>
      </c>
      <c r="G48" s="15" t="s">
        <v>40</v>
      </c>
      <c r="H48" s="7" t="s">
        <v>174</v>
      </c>
      <c r="I48" s="7" t="s">
        <v>175</v>
      </c>
    </row>
    <row r="49" customFormat="false" ht="37.5" hidden="false" customHeight="true" outlineLevel="0" collapsed="false">
      <c r="A49" s="6" t="n">
        <v>44</v>
      </c>
      <c r="B49" s="7" t="s">
        <v>113</v>
      </c>
      <c r="C49" s="7" t="s">
        <v>114</v>
      </c>
      <c r="D49" s="7" t="s">
        <v>176</v>
      </c>
      <c r="E49" s="7" t="s">
        <v>177</v>
      </c>
      <c r="F49" s="8" t="s">
        <v>117</v>
      </c>
      <c r="G49" s="15" t="s">
        <v>40</v>
      </c>
      <c r="H49" s="7" t="s">
        <v>145</v>
      </c>
      <c r="I49" s="7" t="s">
        <v>178</v>
      </c>
    </row>
    <row r="50" customFormat="false" ht="37.5" hidden="false" customHeight="true" outlineLevel="0" collapsed="false">
      <c r="A50" s="6" t="n">
        <v>45</v>
      </c>
      <c r="B50" s="7" t="s">
        <v>113</v>
      </c>
      <c r="C50" s="7" t="s">
        <v>114</v>
      </c>
      <c r="D50" s="7" t="s">
        <v>179</v>
      </c>
      <c r="E50" s="7" t="s">
        <v>180</v>
      </c>
      <c r="F50" s="8" t="s">
        <v>117</v>
      </c>
      <c r="G50" s="9" t="s">
        <v>17</v>
      </c>
      <c r="H50" s="7" t="s">
        <v>181</v>
      </c>
      <c r="I50" s="7" t="s">
        <v>182</v>
      </c>
    </row>
    <row r="51" customFormat="false" ht="37.5" hidden="false" customHeight="true" outlineLevel="0" collapsed="false">
      <c r="A51" s="6" t="n">
        <v>46</v>
      </c>
      <c r="B51" s="7" t="s">
        <v>113</v>
      </c>
      <c r="C51" s="7" t="s">
        <v>114</v>
      </c>
      <c r="D51" s="7" t="s">
        <v>183</v>
      </c>
      <c r="E51" s="7" t="s">
        <v>184</v>
      </c>
      <c r="F51" s="8" t="s">
        <v>117</v>
      </c>
      <c r="G51" s="9" t="s">
        <v>17</v>
      </c>
      <c r="H51" s="7" t="s">
        <v>185</v>
      </c>
      <c r="I51" s="11" t="s">
        <v>186</v>
      </c>
    </row>
    <row r="52" customFormat="false" ht="37.5" hidden="false" customHeight="true" outlineLevel="0" collapsed="false">
      <c r="A52" s="6" t="n">
        <v>47</v>
      </c>
      <c r="B52" s="7" t="s">
        <v>113</v>
      </c>
      <c r="C52" s="7" t="s">
        <v>114</v>
      </c>
      <c r="D52" s="7" t="s">
        <v>187</v>
      </c>
      <c r="E52" s="7" t="s">
        <v>188</v>
      </c>
      <c r="F52" s="8" t="s">
        <v>117</v>
      </c>
      <c r="G52" s="15" t="s">
        <v>40</v>
      </c>
      <c r="H52" s="7" t="s">
        <v>189</v>
      </c>
      <c r="I52" s="7" t="s">
        <v>154</v>
      </c>
    </row>
    <row r="53" customFormat="false" ht="37.5" hidden="false" customHeight="true" outlineLevel="0" collapsed="false">
      <c r="A53" s="6" t="n">
        <v>48</v>
      </c>
      <c r="B53" s="7" t="s">
        <v>113</v>
      </c>
      <c r="C53" s="7" t="s">
        <v>114</v>
      </c>
      <c r="D53" s="7" t="s">
        <v>190</v>
      </c>
      <c r="E53" s="7" t="s">
        <v>191</v>
      </c>
      <c r="F53" s="8" t="s">
        <v>117</v>
      </c>
      <c r="G53" s="15" t="s">
        <v>40</v>
      </c>
      <c r="H53" s="7" t="s">
        <v>192</v>
      </c>
      <c r="I53" s="7" t="s">
        <v>193</v>
      </c>
    </row>
    <row r="54" customFormat="false" ht="37.5" hidden="false" customHeight="true" outlineLevel="0" collapsed="false">
      <c r="A54" s="6" t="n">
        <v>49</v>
      </c>
      <c r="B54" s="7" t="s">
        <v>113</v>
      </c>
      <c r="C54" s="7" t="s">
        <v>114</v>
      </c>
      <c r="D54" s="7" t="s">
        <v>194</v>
      </c>
      <c r="E54" s="7" t="s">
        <v>195</v>
      </c>
      <c r="F54" s="8" t="s">
        <v>117</v>
      </c>
      <c r="G54" s="15" t="s">
        <v>40</v>
      </c>
      <c r="H54" s="7" t="s">
        <v>174</v>
      </c>
      <c r="I54" s="7" t="s">
        <v>196</v>
      </c>
    </row>
    <row r="55" customFormat="false" ht="37.5" hidden="false" customHeight="true" outlineLevel="0" collapsed="false">
      <c r="A55" s="6" t="n">
        <v>50</v>
      </c>
      <c r="B55" s="7" t="s">
        <v>113</v>
      </c>
      <c r="C55" s="7" t="s">
        <v>114</v>
      </c>
      <c r="D55" s="7" t="s">
        <v>197</v>
      </c>
      <c r="E55" s="7" t="s">
        <v>198</v>
      </c>
      <c r="F55" s="8" t="s">
        <v>117</v>
      </c>
      <c r="G55" s="15" t="s">
        <v>40</v>
      </c>
      <c r="H55" s="7" t="s">
        <v>199</v>
      </c>
      <c r="I55" s="11" t="s">
        <v>200</v>
      </c>
    </row>
    <row r="56" customFormat="false" ht="37.5" hidden="false" customHeight="true" outlineLevel="0" collapsed="false">
      <c r="A56" s="6" t="n">
        <v>51</v>
      </c>
      <c r="B56" s="7" t="s">
        <v>113</v>
      </c>
      <c r="C56" s="7" t="s">
        <v>114</v>
      </c>
      <c r="D56" s="7" t="s">
        <v>201</v>
      </c>
      <c r="E56" s="7" t="s">
        <v>202</v>
      </c>
      <c r="F56" s="8" t="s">
        <v>117</v>
      </c>
      <c r="G56" s="15" t="s">
        <v>40</v>
      </c>
      <c r="H56" s="7" t="s">
        <v>185</v>
      </c>
      <c r="I56" s="11" t="s">
        <v>203</v>
      </c>
    </row>
    <row r="57" customFormat="false" ht="37.5" hidden="false" customHeight="true" outlineLevel="0" collapsed="false">
      <c r="A57" s="6" t="n">
        <v>52</v>
      </c>
      <c r="B57" s="7" t="s">
        <v>113</v>
      </c>
      <c r="C57" s="7" t="s">
        <v>114</v>
      </c>
      <c r="D57" s="7" t="s">
        <v>204</v>
      </c>
      <c r="E57" s="7" t="s">
        <v>205</v>
      </c>
      <c r="F57" s="8" t="s">
        <v>117</v>
      </c>
      <c r="G57" s="15" t="s">
        <v>40</v>
      </c>
      <c r="H57" s="7" t="s">
        <v>189</v>
      </c>
      <c r="I57" s="7" t="s">
        <v>154</v>
      </c>
    </row>
    <row r="58" customFormat="false" ht="37.5" hidden="false" customHeight="true" outlineLevel="0" collapsed="false">
      <c r="A58" s="6" t="n">
        <v>53</v>
      </c>
      <c r="B58" s="7" t="s">
        <v>113</v>
      </c>
      <c r="C58" s="7" t="s">
        <v>114</v>
      </c>
      <c r="D58" s="7" t="s">
        <v>206</v>
      </c>
      <c r="E58" s="7" t="s">
        <v>207</v>
      </c>
      <c r="F58" s="8" t="s">
        <v>117</v>
      </c>
      <c r="G58" s="15" t="s">
        <v>40</v>
      </c>
      <c r="H58" s="7" t="s">
        <v>208</v>
      </c>
      <c r="I58" s="7" t="s">
        <v>209</v>
      </c>
    </row>
    <row r="59" customFormat="false" ht="37.5" hidden="false" customHeight="true" outlineLevel="0" collapsed="false">
      <c r="A59" s="6" t="n">
        <v>54</v>
      </c>
      <c r="B59" s="7" t="s">
        <v>113</v>
      </c>
      <c r="C59" s="7" t="s">
        <v>114</v>
      </c>
      <c r="D59" s="7" t="s">
        <v>210</v>
      </c>
      <c r="E59" s="7" t="s">
        <v>211</v>
      </c>
      <c r="F59" s="8" t="s">
        <v>117</v>
      </c>
      <c r="G59" s="9" t="s">
        <v>17</v>
      </c>
      <c r="H59" s="7" t="s">
        <v>130</v>
      </c>
      <c r="I59" s="7" t="s">
        <v>212</v>
      </c>
    </row>
    <row r="60" customFormat="false" ht="37.5" hidden="false" customHeight="true" outlineLevel="0" collapsed="false">
      <c r="A60" s="6" t="n">
        <v>55</v>
      </c>
      <c r="B60" s="7" t="s">
        <v>113</v>
      </c>
      <c r="C60" s="7" t="s">
        <v>114</v>
      </c>
      <c r="D60" s="7" t="s">
        <v>124</v>
      </c>
      <c r="E60" s="7" t="s">
        <v>213</v>
      </c>
      <c r="F60" s="8" t="s">
        <v>117</v>
      </c>
      <c r="G60" s="15" t="s">
        <v>40</v>
      </c>
      <c r="H60" s="7" t="s">
        <v>126</v>
      </c>
      <c r="I60" s="7" t="s">
        <v>214</v>
      </c>
    </row>
    <row r="61" customFormat="false" ht="37.5" hidden="false" customHeight="true" outlineLevel="0" collapsed="false">
      <c r="A61" s="6" t="n">
        <v>56</v>
      </c>
      <c r="B61" s="7" t="s">
        <v>113</v>
      </c>
      <c r="C61" s="7" t="s">
        <v>114</v>
      </c>
      <c r="D61" s="7" t="s">
        <v>215</v>
      </c>
      <c r="E61" s="7" t="s">
        <v>216</v>
      </c>
      <c r="F61" s="8" t="s">
        <v>117</v>
      </c>
      <c r="G61" s="15" t="s">
        <v>40</v>
      </c>
      <c r="H61" s="7" t="s">
        <v>217</v>
      </c>
      <c r="I61" s="11" t="s">
        <v>218</v>
      </c>
    </row>
    <row r="62" customFormat="false" ht="37.5" hidden="false" customHeight="true" outlineLevel="0" collapsed="false">
      <c r="A62" s="6" t="n">
        <v>57</v>
      </c>
      <c r="B62" s="7" t="s">
        <v>113</v>
      </c>
      <c r="C62" s="7" t="s">
        <v>114</v>
      </c>
      <c r="D62" s="7" t="s">
        <v>219</v>
      </c>
      <c r="E62" s="7" t="s">
        <v>220</v>
      </c>
      <c r="F62" s="8" t="s">
        <v>117</v>
      </c>
      <c r="G62" s="9" t="s">
        <v>17</v>
      </c>
      <c r="H62" s="7" t="s">
        <v>208</v>
      </c>
      <c r="I62" s="7" t="s">
        <v>221</v>
      </c>
    </row>
    <row r="63" customFormat="false" ht="37.5" hidden="false" customHeight="true" outlineLevel="0" collapsed="false">
      <c r="A63" s="6" t="n">
        <v>58</v>
      </c>
      <c r="B63" s="7" t="s">
        <v>222</v>
      </c>
      <c r="C63" s="7" t="s">
        <v>223</v>
      </c>
      <c r="D63" s="7" t="s">
        <v>224</v>
      </c>
      <c r="E63" s="11" t="s">
        <v>225</v>
      </c>
      <c r="F63" s="8" t="s">
        <v>226</v>
      </c>
      <c r="G63" s="9" t="s">
        <v>17</v>
      </c>
      <c r="H63" s="7" t="s">
        <v>227</v>
      </c>
      <c r="I63" s="7" t="s">
        <v>228</v>
      </c>
    </row>
    <row r="64" customFormat="false" ht="37.5" hidden="false" customHeight="true" outlineLevel="0" collapsed="false">
      <c r="A64" s="6" t="n">
        <v>59</v>
      </c>
      <c r="B64" s="7" t="s">
        <v>222</v>
      </c>
      <c r="C64" s="7" t="s">
        <v>223</v>
      </c>
      <c r="D64" s="7" t="s">
        <v>229</v>
      </c>
      <c r="E64" s="7" t="s">
        <v>230</v>
      </c>
      <c r="F64" s="8" t="s">
        <v>226</v>
      </c>
      <c r="G64" s="10" t="s">
        <v>25</v>
      </c>
      <c r="H64" s="11" t="s">
        <v>26</v>
      </c>
      <c r="I64" s="7" t="s">
        <v>231</v>
      </c>
    </row>
    <row r="65" customFormat="false" ht="37.5" hidden="false" customHeight="true" outlineLevel="0" collapsed="false">
      <c r="A65" s="6" t="n">
        <v>60</v>
      </c>
      <c r="B65" s="7" t="s">
        <v>222</v>
      </c>
      <c r="C65" s="7" t="s">
        <v>223</v>
      </c>
      <c r="D65" s="7" t="s">
        <v>232</v>
      </c>
      <c r="E65" s="7" t="s">
        <v>233</v>
      </c>
      <c r="F65" s="8" t="s">
        <v>226</v>
      </c>
      <c r="G65" s="17" t="s">
        <v>59</v>
      </c>
      <c r="H65" s="11" t="s">
        <v>26</v>
      </c>
      <c r="I65" s="7" t="s">
        <v>60</v>
      </c>
    </row>
    <row r="66" customFormat="false" ht="37.5" hidden="false" customHeight="true" outlineLevel="0" collapsed="false">
      <c r="A66" s="6" t="n">
        <v>61</v>
      </c>
      <c r="B66" s="7" t="s">
        <v>222</v>
      </c>
      <c r="C66" s="7" t="s">
        <v>223</v>
      </c>
      <c r="D66" s="7" t="s">
        <v>234</v>
      </c>
      <c r="E66" s="7" t="s">
        <v>235</v>
      </c>
      <c r="F66" s="8" t="s">
        <v>226</v>
      </c>
      <c r="G66" s="17" t="s">
        <v>59</v>
      </c>
      <c r="H66" s="11" t="s">
        <v>26</v>
      </c>
      <c r="I66" s="7" t="s">
        <v>60</v>
      </c>
    </row>
    <row r="67" customFormat="false" ht="37.5" hidden="false" customHeight="true" outlineLevel="0" collapsed="false">
      <c r="A67" s="6" t="n">
        <v>62</v>
      </c>
      <c r="B67" s="7" t="s">
        <v>222</v>
      </c>
      <c r="C67" s="7" t="s">
        <v>223</v>
      </c>
      <c r="D67" s="7" t="s">
        <v>236</v>
      </c>
      <c r="E67" s="11" t="s">
        <v>237</v>
      </c>
      <c r="F67" s="8" t="s">
        <v>226</v>
      </c>
      <c r="G67" s="9" t="s">
        <v>17</v>
      </c>
      <c r="H67" s="7" t="s">
        <v>238</v>
      </c>
      <c r="I67" s="7" t="s">
        <v>74</v>
      </c>
    </row>
    <row r="68" customFormat="false" ht="37.5" hidden="false" customHeight="true" outlineLevel="0" collapsed="false">
      <c r="A68" s="6" t="n">
        <v>63</v>
      </c>
      <c r="B68" s="7" t="s">
        <v>222</v>
      </c>
      <c r="C68" s="7" t="s">
        <v>223</v>
      </c>
      <c r="D68" s="7" t="s">
        <v>239</v>
      </c>
      <c r="E68" s="7" t="s">
        <v>240</v>
      </c>
      <c r="F68" s="8" t="s">
        <v>226</v>
      </c>
      <c r="G68" s="9" t="s">
        <v>17</v>
      </c>
      <c r="H68" s="7" t="s">
        <v>241</v>
      </c>
      <c r="I68" s="7" t="s">
        <v>242</v>
      </c>
    </row>
    <row r="69" customFormat="false" ht="37.5" hidden="false" customHeight="true" outlineLevel="0" collapsed="false">
      <c r="A69" s="6" t="n">
        <v>64</v>
      </c>
      <c r="B69" s="7" t="s">
        <v>222</v>
      </c>
      <c r="C69" s="7" t="s">
        <v>223</v>
      </c>
      <c r="D69" s="7" t="s">
        <v>243</v>
      </c>
      <c r="E69" s="7" t="s">
        <v>244</v>
      </c>
      <c r="F69" s="8" t="s">
        <v>226</v>
      </c>
      <c r="G69" s="10" t="s">
        <v>25</v>
      </c>
      <c r="H69" s="11" t="s">
        <v>26</v>
      </c>
      <c r="I69" s="7" t="s">
        <v>245</v>
      </c>
    </row>
    <row r="70" customFormat="false" ht="37.5" hidden="false" customHeight="true" outlineLevel="0" collapsed="false">
      <c r="A70" s="6" t="n">
        <v>65</v>
      </c>
      <c r="B70" s="7" t="s">
        <v>222</v>
      </c>
      <c r="C70" s="7" t="s">
        <v>223</v>
      </c>
      <c r="D70" s="7" t="s">
        <v>246</v>
      </c>
      <c r="E70" s="7" t="s">
        <v>247</v>
      </c>
      <c r="F70" s="8" t="s">
        <v>226</v>
      </c>
      <c r="G70" s="17" t="s">
        <v>59</v>
      </c>
      <c r="H70" s="11" t="s">
        <v>26</v>
      </c>
      <c r="I70" s="7" t="s">
        <v>60</v>
      </c>
    </row>
    <row r="71" customFormat="false" ht="37.5" hidden="false" customHeight="true" outlineLevel="0" collapsed="false">
      <c r="A71" s="6" t="n">
        <v>66</v>
      </c>
      <c r="B71" s="7" t="s">
        <v>222</v>
      </c>
      <c r="C71" s="7" t="s">
        <v>223</v>
      </c>
      <c r="D71" s="7" t="s">
        <v>248</v>
      </c>
      <c r="E71" s="7" t="s">
        <v>249</v>
      </c>
      <c r="F71" s="8" t="s">
        <v>226</v>
      </c>
      <c r="G71" s="10" t="s">
        <v>25</v>
      </c>
      <c r="H71" s="11" t="s">
        <v>26</v>
      </c>
      <c r="I71" s="11" t="s">
        <v>250</v>
      </c>
    </row>
    <row r="72" customFormat="false" ht="37.5" hidden="false" customHeight="true" outlineLevel="0" collapsed="false">
      <c r="A72" s="6" t="n">
        <v>67</v>
      </c>
      <c r="B72" s="7" t="s">
        <v>222</v>
      </c>
      <c r="C72" s="7" t="s">
        <v>223</v>
      </c>
      <c r="D72" s="7" t="s">
        <v>251</v>
      </c>
      <c r="E72" s="7" t="s">
        <v>252</v>
      </c>
      <c r="F72" s="8" t="s">
        <v>226</v>
      </c>
      <c r="G72" s="9" t="s">
        <v>17</v>
      </c>
      <c r="H72" s="7" t="s">
        <v>189</v>
      </c>
      <c r="I72" s="7" t="s">
        <v>253</v>
      </c>
    </row>
    <row r="73" customFormat="false" ht="37.5" hidden="false" customHeight="true" outlineLevel="0" collapsed="false">
      <c r="A73" s="6" t="n">
        <v>68</v>
      </c>
      <c r="B73" s="7" t="s">
        <v>222</v>
      </c>
      <c r="C73" s="7" t="s">
        <v>223</v>
      </c>
      <c r="D73" s="7" t="s">
        <v>254</v>
      </c>
      <c r="E73" s="7" t="s">
        <v>255</v>
      </c>
      <c r="F73" s="8" t="s">
        <v>226</v>
      </c>
      <c r="G73" s="10" t="s">
        <v>25</v>
      </c>
      <c r="H73" s="11" t="s">
        <v>26</v>
      </c>
      <c r="I73" s="7" t="s">
        <v>256</v>
      </c>
    </row>
    <row r="74" customFormat="false" ht="37.5" hidden="false" customHeight="true" outlineLevel="0" collapsed="false">
      <c r="A74" s="6" t="n">
        <v>69</v>
      </c>
      <c r="B74" s="7" t="s">
        <v>222</v>
      </c>
      <c r="C74" s="7" t="s">
        <v>223</v>
      </c>
      <c r="D74" s="7" t="s">
        <v>257</v>
      </c>
      <c r="E74" s="7" t="s">
        <v>258</v>
      </c>
      <c r="F74" s="8" t="s">
        <v>226</v>
      </c>
      <c r="G74" s="10" t="s">
        <v>25</v>
      </c>
      <c r="H74" s="11" t="s">
        <v>26</v>
      </c>
      <c r="I74" s="7" t="s">
        <v>259</v>
      </c>
    </row>
    <row r="75" customFormat="false" ht="37.5" hidden="false" customHeight="true" outlineLevel="0" collapsed="false">
      <c r="A75" s="6" t="n">
        <v>70</v>
      </c>
      <c r="B75" s="7" t="s">
        <v>222</v>
      </c>
      <c r="C75" s="7" t="s">
        <v>223</v>
      </c>
      <c r="D75" s="7" t="s">
        <v>260</v>
      </c>
      <c r="E75" s="7" t="s">
        <v>261</v>
      </c>
      <c r="F75" s="8" t="s">
        <v>226</v>
      </c>
      <c r="G75" s="17" t="s">
        <v>59</v>
      </c>
      <c r="H75" s="11" t="s">
        <v>26</v>
      </c>
      <c r="I75" s="7" t="s">
        <v>60</v>
      </c>
    </row>
    <row r="76" customFormat="false" ht="37.5" hidden="false" customHeight="true" outlineLevel="0" collapsed="false">
      <c r="A76" s="6" t="n">
        <v>71</v>
      </c>
      <c r="B76" s="7" t="s">
        <v>222</v>
      </c>
      <c r="C76" s="7" t="s">
        <v>223</v>
      </c>
      <c r="D76" s="7" t="s">
        <v>262</v>
      </c>
      <c r="E76" s="7" t="s">
        <v>263</v>
      </c>
      <c r="F76" s="8" t="s">
        <v>226</v>
      </c>
      <c r="G76" s="10" t="s">
        <v>25</v>
      </c>
      <c r="H76" s="11" t="s">
        <v>26</v>
      </c>
      <c r="I76" s="7" t="s">
        <v>264</v>
      </c>
    </row>
    <row r="77" customFormat="false" ht="37.5" hidden="false" customHeight="true" outlineLevel="0" collapsed="false">
      <c r="A77" s="6" t="n">
        <v>72</v>
      </c>
      <c r="B77" s="7" t="s">
        <v>222</v>
      </c>
      <c r="C77" s="7" t="s">
        <v>223</v>
      </c>
      <c r="D77" s="7" t="s">
        <v>265</v>
      </c>
      <c r="E77" s="7" t="s">
        <v>266</v>
      </c>
      <c r="F77" s="8" t="s">
        <v>226</v>
      </c>
      <c r="G77" s="10" t="s">
        <v>25</v>
      </c>
      <c r="H77" s="11" t="s">
        <v>26</v>
      </c>
      <c r="I77" s="7" t="s">
        <v>267</v>
      </c>
    </row>
    <row r="78" customFormat="false" ht="37.5" hidden="false" customHeight="true" outlineLevel="0" collapsed="false">
      <c r="A78" s="12" t="n">
        <v>73</v>
      </c>
      <c r="B78" s="13" t="s">
        <v>268</v>
      </c>
      <c r="C78" s="13" t="s">
        <v>269</v>
      </c>
      <c r="D78" s="13" t="s">
        <v>270</v>
      </c>
      <c r="E78" s="16" t="s">
        <v>271</v>
      </c>
      <c r="F78" s="14" t="s">
        <v>272</v>
      </c>
      <c r="G78" s="9" t="s">
        <v>17</v>
      </c>
      <c r="H78" s="13" t="s">
        <v>273</v>
      </c>
      <c r="I78" s="16" t="s">
        <v>274</v>
      </c>
    </row>
    <row r="79" customFormat="false" ht="37.5" hidden="false" customHeight="true" outlineLevel="0" collapsed="false">
      <c r="A79" s="12" t="n">
        <v>74</v>
      </c>
      <c r="B79" s="13" t="s">
        <v>268</v>
      </c>
      <c r="C79" s="13" t="s">
        <v>269</v>
      </c>
      <c r="D79" s="13" t="s">
        <v>275</v>
      </c>
      <c r="E79" s="13" t="s">
        <v>276</v>
      </c>
      <c r="F79" s="14" t="s">
        <v>272</v>
      </c>
      <c r="G79" s="10" t="s">
        <v>25</v>
      </c>
      <c r="H79" s="16" t="s">
        <v>26</v>
      </c>
      <c r="I79" s="16" t="s">
        <v>277</v>
      </c>
    </row>
    <row r="80" customFormat="false" ht="37.5" hidden="false" customHeight="true" outlineLevel="0" collapsed="false">
      <c r="A80" s="12" t="n">
        <v>75</v>
      </c>
      <c r="B80" s="13" t="s">
        <v>268</v>
      </c>
      <c r="C80" s="13" t="s">
        <v>269</v>
      </c>
      <c r="D80" s="13" t="s">
        <v>278</v>
      </c>
      <c r="E80" s="13" t="s">
        <v>279</v>
      </c>
      <c r="F80" s="14" t="s">
        <v>272</v>
      </c>
      <c r="G80" s="10" t="s">
        <v>25</v>
      </c>
      <c r="H80" s="16" t="s">
        <v>26</v>
      </c>
      <c r="I80" s="13" t="s">
        <v>280</v>
      </c>
    </row>
    <row r="81" customFormat="false" ht="37.5" hidden="false" customHeight="true" outlineLevel="0" collapsed="false">
      <c r="A81" s="12" t="n">
        <v>76</v>
      </c>
      <c r="B81" s="13" t="s">
        <v>268</v>
      </c>
      <c r="C81" s="13" t="s">
        <v>269</v>
      </c>
      <c r="D81" s="16" t="s">
        <v>281</v>
      </c>
      <c r="E81" s="13" t="s">
        <v>282</v>
      </c>
      <c r="F81" s="14" t="s">
        <v>272</v>
      </c>
      <c r="G81" s="17" t="s">
        <v>59</v>
      </c>
      <c r="H81" s="16" t="s">
        <v>26</v>
      </c>
      <c r="I81" s="13" t="s">
        <v>60</v>
      </c>
    </row>
    <row r="82" customFormat="false" ht="37.5" hidden="false" customHeight="true" outlineLevel="0" collapsed="false">
      <c r="A82" s="12" t="n">
        <v>77</v>
      </c>
      <c r="B82" s="13" t="s">
        <v>268</v>
      </c>
      <c r="C82" s="13" t="s">
        <v>269</v>
      </c>
      <c r="D82" s="13" t="s">
        <v>283</v>
      </c>
      <c r="E82" s="16" t="s">
        <v>284</v>
      </c>
      <c r="F82" s="14" t="s">
        <v>272</v>
      </c>
      <c r="G82" s="10" t="s">
        <v>25</v>
      </c>
      <c r="H82" s="16" t="s">
        <v>26</v>
      </c>
      <c r="I82" s="13" t="s">
        <v>285</v>
      </c>
    </row>
    <row r="83" customFormat="false" ht="37.5" hidden="false" customHeight="true" outlineLevel="0" collapsed="false">
      <c r="A83" s="12" t="n">
        <v>78</v>
      </c>
      <c r="B83" s="13" t="s">
        <v>268</v>
      </c>
      <c r="C83" s="13" t="s">
        <v>269</v>
      </c>
      <c r="D83" s="13" t="s">
        <v>286</v>
      </c>
      <c r="E83" s="13" t="s">
        <v>287</v>
      </c>
      <c r="F83" s="14" t="s">
        <v>272</v>
      </c>
      <c r="G83" s="10" t="s">
        <v>25</v>
      </c>
      <c r="H83" s="16" t="s">
        <v>26</v>
      </c>
      <c r="I83" s="16" t="s">
        <v>288</v>
      </c>
    </row>
    <row r="84" customFormat="false" ht="37.5" hidden="false" customHeight="true" outlineLevel="0" collapsed="false">
      <c r="A84" s="6" t="n">
        <v>79</v>
      </c>
      <c r="B84" s="7" t="s">
        <v>289</v>
      </c>
      <c r="C84" s="7" t="s">
        <v>290</v>
      </c>
      <c r="D84" s="7" t="s">
        <v>291</v>
      </c>
      <c r="E84" s="7" t="s">
        <v>292</v>
      </c>
      <c r="F84" s="8" t="s">
        <v>293</v>
      </c>
      <c r="G84" s="15" t="s">
        <v>40</v>
      </c>
      <c r="H84" s="7" t="s">
        <v>294</v>
      </c>
      <c r="I84" s="7" t="s">
        <v>295</v>
      </c>
    </row>
    <row r="85" customFormat="false" ht="37.5" hidden="false" customHeight="true" outlineLevel="0" collapsed="false">
      <c r="A85" s="6" t="n">
        <v>80</v>
      </c>
      <c r="B85" s="7" t="s">
        <v>289</v>
      </c>
      <c r="C85" s="7" t="s">
        <v>290</v>
      </c>
      <c r="D85" s="7" t="s">
        <v>296</v>
      </c>
      <c r="E85" s="7" t="s">
        <v>297</v>
      </c>
      <c r="F85" s="8" t="s">
        <v>293</v>
      </c>
      <c r="G85" s="15" t="s">
        <v>40</v>
      </c>
      <c r="H85" s="7" t="s">
        <v>298</v>
      </c>
      <c r="I85" s="7" t="s">
        <v>299</v>
      </c>
    </row>
    <row r="86" customFormat="false" ht="37.5" hidden="false" customHeight="true" outlineLevel="0" collapsed="false">
      <c r="A86" s="6" t="n">
        <v>81</v>
      </c>
      <c r="B86" s="7" t="s">
        <v>289</v>
      </c>
      <c r="C86" s="7" t="s">
        <v>290</v>
      </c>
      <c r="D86" s="7" t="s">
        <v>300</v>
      </c>
      <c r="E86" s="7" t="s">
        <v>301</v>
      </c>
      <c r="F86" s="8" t="s">
        <v>293</v>
      </c>
      <c r="G86" s="15" t="s">
        <v>40</v>
      </c>
      <c r="H86" s="7" t="s">
        <v>302</v>
      </c>
      <c r="I86" s="7" t="s">
        <v>303</v>
      </c>
    </row>
    <row r="87" customFormat="false" ht="37.5" hidden="false" customHeight="true" outlineLevel="0" collapsed="false">
      <c r="A87" s="6" t="n">
        <v>82</v>
      </c>
      <c r="B87" s="7" t="s">
        <v>289</v>
      </c>
      <c r="C87" s="7" t="s">
        <v>290</v>
      </c>
      <c r="D87" s="7" t="s">
        <v>304</v>
      </c>
      <c r="E87" s="7" t="s">
        <v>305</v>
      </c>
      <c r="F87" s="8" t="s">
        <v>293</v>
      </c>
      <c r="G87" s="17" t="s">
        <v>59</v>
      </c>
      <c r="H87" s="11" t="s">
        <v>26</v>
      </c>
      <c r="I87" s="7" t="s">
        <v>60</v>
      </c>
    </row>
    <row r="88" customFormat="false" ht="37.5" hidden="false" customHeight="true" outlineLevel="0" collapsed="false">
      <c r="A88" s="6" t="n">
        <v>83</v>
      </c>
      <c r="B88" s="7" t="s">
        <v>289</v>
      </c>
      <c r="C88" s="7" t="s">
        <v>290</v>
      </c>
      <c r="D88" s="7" t="s">
        <v>306</v>
      </c>
      <c r="E88" s="7" t="s">
        <v>307</v>
      </c>
      <c r="F88" s="8" t="s">
        <v>293</v>
      </c>
      <c r="G88" s="15" t="s">
        <v>40</v>
      </c>
      <c r="H88" s="7" t="s">
        <v>308</v>
      </c>
      <c r="I88" s="7" t="s">
        <v>154</v>
      </c>
    </row>
    <row r="89" customFormat="false" ht="37.5" hidden="false" customHeight="true" outlineLevel="0" collapsed="false">
      <c r="A89" s="6" t="n">
        <v>84</v>
      </c>
      <c r="B89" s="7" t="s">
        <v>289</v>
      </c>
      <c r="C89" s="7" t="s">
        <v>290</v>
      </c>
      <c r="D89" s="7" t="s">
        <v>309</v>
      </c>
      <c r="E89" s="7" t="s">
        <v>310</v>
      </c>
      <c r="F89" s="8" t="s">
        <v>293</v>
      </c>
      <c r="G89" s="15" t="s">
        <v>40</v>
      </c>
      <c r="H89" s="7" t="s">
        <v>311</v>
      </c>
      <c r="I89" s="7" t="s">
        <v>312</v>
      </c>
    </row>
    <row r="90" customFormat="false" ht="37.5" hidden="false" customHeight="true" outlineLevel="0" collapsed="false">
      <c r="A90" s="6" t="n">
        <v>85</v>
      </c>
      <c r="B90" s="7" t="s">
        <v>289</v>
      </c>
      <c r="C90" s="7" t="s">
        <v>290</v>
      </c>
      <c r="D90" s="7" t="s">
        <v>313</v>
      </c>
      <c r="E90" s="7" t="s">
        <v>314</v>
      </c>
      <c r="F90" s="8" t="s">
        <v>293</v>
      </c>
      <c r="G90" s="15" t="s">
        <v>40</v>
      </c>
      <c r="H90" s="7" t="s">
        <v>134</v>
      </c>
      <c r="I90" s="7" t="s">
        <v>315</v>
      </c>
    </row>
    <row r="91" customFormat="false" ht="37.5" hidden="false" customHeight="true" outlineLevel="0" collapsed="false">
      <c r="A91" s="6" t="n">
        <v>86</v>
      </c>
      <c r="B91" s="7" t="s">
        <v>289</v>
      </c>
      <c r="C91" s="7" t="s">
        <v>290</v>
      </c>
      <c r="D91" s="7" t="s">
        <v>316</v>
      </c>
      <c r="E91" s="7" t="s">
        <v>317</v>
      </c>
      <c r="F91" s="8" t="s">
        <v>293</v>
      </c>
      <c r="G91" s="10" t="s">
        <v>25</v>
      </c>
      <c r="H91" s="11" t="s">
        <v>26</v>
      </c>
      <c r="I91" s="7" t="s">
        <v>318</v>
      </c>
    </row>
    <row r="92" customFormat="false" ht="37.5" hidden="false" customHeight="true" outlineLevel="0" collapsed="false">
      <c r="A92" s="6" t="n">
        <v>87</v>
      </c>
      <c r="B92" s="7" t="s">
        <v>289</v>
      </c>
      <c r="C92" s="7" t="s">
        <v>290</v>
      </c>
      <c r="D92" s="7" t="s">
        <v>319</v>
      </c>
      <c r="E92" s="7" t="s">
        <v>320</v>
      </c>
      <c r="F92" s="8" t="s">
        <v>293</v>
      </c>
      <c r="G92" s="10" t="s">
        <v>25</v>
      </c>
      <c r="H92" s="11" t="s">
        <v>26</v>
      </c>
      <c r="I92" s="7" t="s">
        <v>321</v>
      </c>
    </row>
    <row r="93" customFormat="false" ht="37.5" hidden="false" customHeight="true" outlineLevel="0" collapsed="false">
      <c r="A93" s="6" t="n">
        <v>88</v>
      </c>
      <c r="B93" s="7" t="s">
        <v>289</v>
      </c>
      <c r="C93" s="7" t="s">
        <v>290</v>
      </c>
      <c r="D93" s="7" t="s">
        <v>322</v>
      </c>
      <c r="E93" s="7" t="s">
        <v>323</v>
      </c>
      <c r="F93" s="8" t="s">
        <v>293</v>
      </c>
      <c r="G93" s="15" t="s">
        <v>40</v>
      </c>
      <c r="H93" s="7" t="s">
        <v>134</v>
      </c>
      <c r="I93" s="7" t="s">
        <v>154</v>
      </c>
    </row>
    <row r="94" customFormat="false" ht="37.5" hidden="false" customHeight="true" outlineLevel="0" collapsed="false">
      <c r="A94" s="6" t="n">
        <v>89</v>
      </c>
      <c r="B94" s="7" t="s">
        <v>289</v>
      </c>
      <c r="C94" s="7" t="s">
        <v>290</v>
      </c>
      <c r="D94" s="7" t="s">
        <v>324</v>
      </c>
      <c r="E94" s="7" t="s">
        <v>325</v>
      </c>
      <c r="F94" s="8" t="s">
        <v>293</v>
      </c>
      <c r="G94" s="9" t="s">
        <v>17</v>
      </c>
      <c r="H94" s="7" t="s">
        <v>83</v>
      </c>
      <c r="I94" s="7" t="s">
        <v>326</v>
      </c>
    </row>
    <row r="95" customFormat="false" ht="37.5" hidden="false" customHeight="true" outlineLevel="0" collapsed="false">
      <c r="A95" s="6" t="n">
        <v>90</v>
      </c>
      <c r="B95" s="7" t="s">
        <v>289</v>
      </c>
      <c r="C95" s="7" t="s">
        <v>290</v>
      </c>
      <c r="D95" s="7" t="s">
        <v>327</v>
      </c>
      <c r="E95" s="7" t="s">
        <v>328</v>
      </c>
      <c r="F95" s="8" t="s">
        <v>293</v>
      </c>
      <c r="G95" s="9" t="s">
        <v>17</v>
      </c>
      <c r="H95" s="7" t="s">
        <v>329</v>
      </c>
      <c r="I95" s="7" t="s">
        <v>330</v>
      </c>
    </row>
    <row r="96" customFormat="false" ht="37.5" hidden="false" customHeight="true" outlineLevel="0" collapsed="false">
      <c r="A96" s="6" t="n">
        <v>91</v>
      </c>
      <c r="B96" s="7" t="s">
        <v>289</v>
      </c>
      <c r="C96" s="7" t="s">
        <v>290</v>
      </c>
      <c r="D96" s="7" t="s">
        <v>331</v>
      </c>
      <c r="E96" s="7" t="s">
        <v>332</v>
      </c>
      <c r="F96" s="8" t="s">
        <v>293</v>
      </c>
      <c r="G96" s="17" t="s">
        <v>59</v>
      </c>
      <c r="H96" s="11" t="s">
        <v>26</v>
      </c>
      <c r="I96" s="7" t="s">
        <v>60</v>
      </c>
    </row>
    <row r="97" customFormat="false" ht="37.5" hidden="false" customHeight="true" outlineLevel="0" collapsed="false">
      <c r="A97" s="6" t="n">
        <v>92</v>
      </c>
      <c r="B97" s="11" t="s">
        <v>333</v>
      </c>
      <c r="C97" s="7" t="s">
        <v>334</v>
      </c>
      <c r="D97" s="7" t="s">
        <v>335</v>
      </c>
      <c r="E97" s="7" t="s">
        <v>336</v>
      </c>
      <c r="F97" s="6" t="s">
        <v>337</v>
      </c>
      <c r="G97" s="9" t="s">
        <v>17</v>
      </c>
      <c r="H97" s="7" t="s">
        <v>41</v>
      </c>
      <c r="I97" s="7" t="s">
        <v>338</v>
      </c>
    </row>
    <row r="98" customFormat="false" ht="37.5" hidden="false" customHeight="true" outlineLevel="0" collapsed="false">
      <c r="A98" s="6" t="n">
        <v>93</v>
      </c>
      <c r="B98" s="11" t="s">
        <v>333</v>
      </c>
      <c r="C98" s="7" t="s">
        <v>334</v>
      </c>
      <c r="D98" s="7" t="s">
        <v>339</v>
      </c>
      <c r="E98" s="7" t="s">
        <v>340</v>
      </c>
      <c r="F98" s="6" t="s">
        <v>337</v>
      </c>
      <c r="G98" s="9" t="s">
        <v>17</v>
      </c>
      <c r="H98" s="7" t="s">
        <v>341</v>
      </c>
      <c r="I98" s="7" t="s">
        <v>342</v>
      </c>
    </row>
    <row r="99" customFormat="false" ht="37.5" hidden="false" customHeight="true" outlineLevel="0" collapsed="false">
      <c r="A99" s="6" t="n">
        <v>94</v>
      </c>
      <c r="B99" s="11" t="s">
        <v>333</v>
      </c>
      <c r="C99" s="7" t="s">
        <v>334</v>
      </c>
      <c r="D99" s="7" t="s">
        <v>343</v>
      </c>
      <c r="E99" s="7" t="s">
        <v>344</v>
      </c>
      <c r="F99" s="6" t="s">
        <v>337</v>
      </c>
      <c r="G99" s="15" t="s">
        <v>40</v>
      </c>
      <c r="H99" s="7" t="s">
        <v>345</v>
      </c>
      <c r="I99" s="7" t="s">
        <v>346</v>
      </c>
    </row>
    <row r="100" customFormat="false" ht="37.5" hidden="false" customHeight="true" outlineLevel="0" collapsed="false">
      <c r="A100" s="6" t="n">
        <v>95</v>
      </c>
      <c r="B100" s="11" t="s">
        <v>333</v>
      </c>
      <c r="C100" s="7" t="s">
        <v>334</v>
      </c>
      <c r="D100" s="7" t="s">
        <v>347</v>
      </c>
      <c r="E100" s="7" t="s">
        <v>348</v>
      </c>
      <c r="F100" s="6" t="s">
        <v>337</v>
      </c>
      <c r="G100" s="9" t="s">
        <v>17</v>
      </c>
      <c r="H100" s="7" t="s">
        <v>87</v>
      </c>
      <c r="I100" s="7" t="s">
        <v>349</v>
      </c>
    </row>
    <row r="101" customFormat="false" ht="37.5" hidden="false" customHeight="true" outlineLevel="0" collapsed="false">
      <c r="A101" s="6" t="n">
        <v>96</v>
      </c>
      <c r="B101" s="11" t="s">
        <v>333</v>
      </c>
      <c r="C101" s="7" t="s">
        <v>334</v>
      </c>
      <c r="D101" s="7" t="s">
        <v>350</v>
      </c>
      <c r="E101" s="7" t="s">
        <v>351</v>
      </c>
      <c r="F101" s="6" t="s">
        <v>337</v>
      </c>
      <c r="G101" s="9" t="s">
        <v>17</v>
      </c>
      <c r="H101" s="7" t="s">
        <v>308</v>
      </c>
      <c r="I101" s="7" t="s">
        <v>352</v>
      </c>
    </row>
    <row r="102" customFormat="false" ht="37.5" hidden="false" customHeight="true" outlineLevel="0" collapsed="false">
      <c r="A102" s="6" t="n">
        <v>97</v>
      </c>
      <c r="B102" s="11" t="s">
        <v>333</v>
      </c>
      <c r="C102" s="7" t="s">
        <v>334</v>
      </c>
      <c r="D102" s="7" t="s">
        <v>353</v>
      </c>
      <c r="E102" s="7" t="s">
        <v>354</v>
      </c>
      <c r="F102" s="6" t="s">
        <v>337</v>
      </c>
      <c r="G102" s="9" t="s">
        <v>17</v>
      </c>
      <c r="H102" s="7" t="s">
        <v>134</v>
      </c>
      <c r="I102" s="7" t="s">
        <v>355</v>
      </c>
    </row>
    <row r="103" customFormat="false" ht="37.5" hidden="false" customHeight="true" outlineLevel="0" collapsed="false">
      <c r="A103" s="6" t="n">
        <v>98</v>
      </c>
      <c r="B103" s="11" t="s">
        <v>333</v>
      </c>
      <c r="C103" s="7" t="s">
        <v>334</v>
      </c>
      <c r="D103" s="7" t="s">
        <v>356</v>
      </c>
      <c r="E103" s="7" t="s">
        <v>357</v>
      </c>
      <c r="F103" s="6" t="s">
        <v>337</v>
      </c>
      <c r="G103" s="15" t="s">
        <v>40</v>
      </c>
      <c r="H103" s="7" t="s">
        <v>358</v>
      </c>
      <c r="I103" s="7" t="s">
        <v>359</v>
      </c>
    </row>
    <row r="104" customFormat="false" ht="37.5" hidden="false" customHeight="true" outlineLevel="0" collapsed="false">
      <c r="A104" s="6" t="n">
        <v>99</v>
      </c>
      <c r="B104" s="11" t="s">
        <v>333</v>
      </c>
      <c r="C104" s="7" t="s">
        <v>334</v>
      </c>
      <c r="D104" s="7" t="s">
        <v>360</v>
      </c>
      <c r="E104" s="7" t="s">
        <v>361</v>
      </c>
      <c r="F104" s="6" t="s">
        <v>337</v>
      </c>
      <c r="G104" s="10" t="s">
        <v>25</v>
      </c>
      <c r="H104" s="11" t="s">
        <v>26</v>
      </c>
      <c r="I104" s="7" t="s">
        <v>362</v>
      </c>
    </row>
    <row r="105" customFormat="false" ht="37.5" hidden="false" customHeight="true" outlineLevel="0" collapsed="false">
      <c r="A105" s="6" t="n">
        <v>100</v>
      </c>
      <c r="B105" s="11" t="s">
        <v>333</v>
      </c>
      <c r="C105" s="7" t="s">
        <v>334</v>
      </c>
      <c r="D105" s="7" t="s">
        <v>363</v>
      </c>
      <c r="E105" s="7" t="s">
        <v>364</v>
      </c>
      <c r="F105" s="6" t="s">
        <v>337</v>
      </c>
      <c r="G105" s="10" t="s">
        <v>25</v>
      </c>
      <c r="H105" s="11" t="s">
        <v>26</v>
      </c>
      <c r="I105" s="7" t="s">
        <v>365</v>
      </c>
    </row>
    <row r="106" customFormat="false" ht="37.5" hidden="false" customHeight="true" outlineLevel="0" collapsed="false">
      <c r="A106" s="6" t="n">
        <v>101</v>
      </c>
      <c r="B106" s="11" t="s">
        <v>333</v>
      </c>
      <c r="C106" s="7" t="s">
        <v>334</v>
      </c>
      <c r="D106" s="7" t="s">
        <v>366</v>
      </c>
      <c r="E106" s="7" t="s">
        <v>367</v>
      </c>
      <c r="F106" s="6" t="s">
        <v>337</v>
      </c>
      <c r="G106" s="15" t="s">
        <v>40</v>
      </c>
      <c r="H106" s="11" t="s">
        <v>368</v>
      </c>
      <c r="I106" s="11" t="s">
        <v>369</v>
      </c>
    </row>
    <row r="107" customFormat="false" ht="37.5" hidden="false" customHeight="true" outlineLevel="0" collapsed="false">
      <c r="A107" s="6" t="n">
        <v>102</v>
      </c>
      <c r="B107" s="11" t="s">
        <v>333</v>
      </c>
      <c r="C107" s="7" t="s">
        <v>334</v>
      </c>
      <c r="D107" s="7" t="s">
        <v>370</v>
      </c>
      <c r="E107" s="7" t="s">
        <v>371</v>
      </c>
      <c r="F107" s="6" t="s">
        <v>337</v>
      </c>
      <c r="G107" s="15" t="s">
        <v>40</v>
      </c>
      <c r="H107" s="11" t="s">
        <v>372</v>
      </c>
      <c r="I107" s="7" t="s">
        <v>373</v>
      </c>
    </row>
    <row r="108" customFormat="false" ht="37.5" hidden="false" customHeight="true" outlineLevel="0" collapsed="false">
      <c r="A108" s="6" t="n">
        <v>103</v>
      </c>
      <c r="B108" s="11" t="s">
        <v>374</v>
      </c>
      <c r="C108" s="7" t="s">
        <v>375</v>
      </c>
      <c r="D108" s="7" t="s">
        <v>376</v>
      </c>
      <c r="E108" s="7" t="s">
        <v>377</v>
      </c>
      <c r="F108" s="6" t="s">
        <v>378</v>
      </c>
      <c r="G108" s="9" t="s">
        <v>17</v>
      </c>
      <c r="H108" s="7" t="s">
        <v>41</v>
      </c>
      <c r="I108" s="7" t="s">
        <v>379</v>
      </c>
    </row>
    <row r="109" customFormat="false" ht="37.5" hidden="false" customHeight="true" outlineLevel="0" collapsed="false">
      <c r="A109" s="6" t="n">
        <v>104</v>
      </c>
      <c r="B109" s="11" t="s">
        <v>374</v>
      </c>
      <c r="C109" s="7" t="s">
        <v>375</v>
      </c>
      <c r="D109" s="7" t="s">
        <v>380</v>
      </c>
      <c r="E109" s="7" t="s">
        <v>381</v>
      </c>
      <c r="F109" s="6" t="s">
        <v>378</v>
      </c>
      <c r="G109" s="9" t="s">
        <v>17</v>
      </c>
      <c r="H109" s="7" t="s">
        <v>382</v>
      </c>
      <c r="I109" s="7" t="s">
        <v>383</v>
      </c>
    </row>
    <row r="110" customFormat="false" ht="37.5" hidden="false" customHeight="true" outlineLevel="0" collapsed="false">
      <c r="A110" s="6" t="n">
        <v>105</v>
      </c>
      <c r="B110" s="11" t="s">
        <v>374</v>
      </c>
      <c r="C110" s="7" t="s">
        <v>375</v>
      </c>
      <c r="D110" s="7" t="s">
        <v>384</v>
      </c>
      <c r="E110" s="11" t="s">
        <v>385</v>
      </c>
      <c r="F110" s="6" t="s">
        <v>378</v>
      </c>
      <c r="G110" s="15" t="s">
        <v>40</v>
      </c>
      <c r="H110" s="7" t="s">
        <v>386</v>
      </c>
      <c r="I110" s="7" t="s">
        <v>387</v>
      </c>
    </row>
    <row r="111" customFormat="false" ht="37.5" hidden="false" customHeight="true" outlineLevel="0" collapsed="false">
      <c r="A111" s="6" t="n">
        <v>106</v>
      </c>
      <c r="B111" s="11" t="s">
        <v>374</v>
      </c>
      <c r="C111" s="7" t="s">
        <v>375</v>
      </c>
      <c r="D111" s="7" t="s">
        <v>388</v>
      </c>
      <c r="E111" s="7" t="s">
        <v>389</v>
      </c>
      <c r="F111" s="6" t="s">
        <v>378</v>
      </c>
      <c r="G111" s="9" t="s">
        <v>17</v>
      </c>
      <c r="H111" s="7" t="s">
        <v>390</v>
      </c>
      <c r="I111" s="7" t="s">
        <v>391</v>
      </c>
    </row>
    <row r="112" customFormat="false" ht="37.5" hidden="false" customHeight="true" outlineLevel="0" collapsed="false">
      <c r="A112" s="6" t="n">
        <v>107</v>
      </c>
      <c r="B112" s="11" t="s">
        <v>374</v>
      </c>
      <c r="C112" s="7" t="s">
        <v>375</v>
      </c>
      <c r="D112" s="7" t="s">
        <v>392</v>
      </c>
      <c r="E112" s="7" t="s">
        <v>393</v>
      </c>
      <c r="F112" s="6" t="s">
        <v>378</v>
      </c>
      <c r="G112" s="15" t="s">
        <v>40</v>
      </c>
      <c r="H112" s="7" t="s">
        <v>394</v>
      </c>
      <c r="I112" s="7" t="s">
        <v>395</v>
      </c>
    </row>
    <row r="113" customFormat="false" ht="37.5" hidden="false" customHeight="true" outlineLevel="0" collapsed="false">
      <c r="A113" s="6" t="n">
        <v>108</v>
      </c>
      <c r="B113" s="11" t="s">
        <v>374</v>
      </c>
      <c r="C113" s="7" t="s">
        <v>375</v>
      </c>
      <c r="D113" s="7" t="s">
        <v>396</v>
      </c>
      <c r="E113" s="7" t="s">
        <v>397</v>
      </c>
      <c r="F113" s="6" t="s">
        <v>378</v>
      </c>
      <c r="G113" s="9" t="s">
        <v>17</v>
      </c>
      <c r="H113" s="7" t="s">
        <v>134</v>
      </c>
      <c r="I113" s="7" t="s">
        <v>398</v>
      </c>
    </row>
    <row r="114" customFormat="false" ht="37.5" hidden="false" customHeight="true" outlineLevel="0" collapsed="false">
      <c r="A114" s="6" t="n">
        <v>109</v>
      </c>
      <c r="B114" s="11" t="s">
        <v>374</v>
      </c>
      <c r="C114" s="7" t="s">
        <v>375</v>
      </c>
      <c r="D114" s="7" t="s">
        <v>399</v>
      </c>
      <c r="E114" s="7" t="s">
        <v>400</v>
      </c>
      <c r="F114" s="6" t="s">
        <v>378</v>
      </c>
      <c r="G114" s="15" t="s">
        <v>40</v>
      </c>
      <c r="H114" s="11" t="s">
        <v>372</v>
      </c>
      <c r="I114" s="7" t="s">
        <v>401</v>
      </c>
    </row>
    <row r="115" customFormat="false" ht="37.5" hidden="false" customHeight="true" outlineLevel="0" collapsed="false">
      <c r="A115" s="6" t="n">
        <v>110</v>
      </c>
      <c r="B115" s="11" t="s">
        <v>374</v>
      </c>
      <c r="C115" s="7" t="s">
        <v>375</v>
      </c>
      <c r="D115" s="7" t="s">
        <v>402</v>
      </c>
      <c r="E115" s="7" t="s">
        <v>403</v>
      </c>
      <c r="F115" s="6" t="s">
        <v>378</v>
      </c>
      <c r="G115" s="15" t="s">
        <v>40</v>
      </c>
      <c r="H115" s="7" t="s">
        <v>404</v>
      </c>
      <c r="I115" s="7" t="s">
        <v>405</v>
      </c>
    </row>
    <row r="116" customFormat="false" ht="37.5" hidden="false" customHeight="true" outlineLevel="0" collapsed="false">
      <c r="A116" s="6" t="n">
        <v>111</v>
      </c>
      <c r="B116" s="11" t="s">
        <v>374</v>
      </c>
      <c r="C116" s="7" t="s">
        <v>406</v>
      </c>
      <c r="D116" s="11" t="s">
        <v>407</v>
      </c>
      <c r="E116" s="7" t="s">
        <v>408</v>
      </c>
      <c r="F116" s="8" t="s">
        <v>406</v>
      </c>
      <c r="G116" s="10" t="s">
        <v>25</v>
      </c>
      <c r="H116" s="11" t="s">
        <v>26</v>
      </c>
      <c r="I116" s="11" t="s">
        <v>409</v>
      </c>
    </row>
    <row r="117" customFormat="false" ht="37.5" hidden="false" customHeight="true" outlineLevel="0" collapsed="false">
      <c r="A117" s="6" t="n">
        <v>112</v>
      </c>
      <c r="B117" s="11" t="s">
        <v>374</v>
      </c>
      <c r="C117" s="7" t="s">
        <v>406</v>
      </c>
      <c r="D117" s="7" t="s">
        <v>410</v>
      </c>
      <c r="E117" s="11" t="s">
        <v>411</v>
      </c>
      <c r="F117" s="8" t="s">
        <v>406</v>
      </c>
      <c r="G117" s="9" t="s">
        <v>17</v>
      </c>
      <c r="H117" s="7" t="s">
        <v>412</v>
      </c>
      <c r="I117" s="7" t="s">
        <v>413</v>
      </c>
    </row>
    <row r="118" customFormat="false" ht="37.5" hidden="false" customHeight="true" outlineLevel="0" collapsed="false">
      <c r="A118" s="6" t="n">
        <v>113</v>
      </c>
      <c r="B118" s="11" t="s">
        <v>374</v>
      </c>
      <c r="C118" s="7" t="s">
        <v>406</v>
      </c>
      <c r="D118" s="7" t="s">
        <v>414</v>
      </c>
      <c r="E118" s="7" t="s">
        <v>415</v>
      </c>
      <c r="F118" s="8" t="s">
        <v>406</v>
      </c>
      <c r="G118" s="10" t="s">
        <v>25</v>
      </c>
      <c r="H118" s="11" t="s">
        <v>26</v>
      </c>
      <c r="I118" s="7" t="s">
        <v>416</v>
      </c>
    </row>
  </sheetData>
  <autoFilter ref="A5:I118"/>
  <mergeCells count="3">
    <mergeCell ref="A1:I1"/>
    <mergeCell ref="A2:I2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6" min="3" style="0" width="10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18" t="s">
        <v>417</v>
      </c>
      <c r="B1" s="18"/>
      <c r="C1" s="18"/>
      <c r="D1" s="18"/>
      <c r="E1" s="18"/>
    </row>
    <row r="3" customFormat="false" ht="15" hidden="false" customHeight="false" outlineLevel="0" collapsed="false">
      <c r="A3" s="19" t="s">
        <v>418</v>
      </c>
    </row>
    <row r="4" customFormat="false" ht="15" hidden="false" customHeight="false" outlineLevel="0" collapsed="false">
      <c r="A4" s="20" t="s">
        <v>419</v>
      </c>
      <c r="B4" s="20" t="s">
        <v>420</v>
      </c>
      <c r="C4" s="20" t="s">
        <v>421</v>
      </c>
      <c r="D4" s="20" t="s">
        <v>422</v>
      </c>
    </row>
    <row r="5" customFormat="false" ht="15" hidden="false" customHeight="false" outlineLevel="0" collapsed="false">
      <c r="A5" s="21" t="s">
        <v>40</v>
      </c>
      <c r="B5" s="22" t="n">
        <f aca="false">COUNTIF('요구사항 정의서'!G6:G118,"O")</f>
        <v>37</v>
      </c>
      <c r="C5" s="23" t="n">
        <f aca="false">B5/$B$9</f>
        <v>0.327433628318584</v>
      </c>
      <c r="D5" s="24" t="s">
        <v>423</v>
      </c>
    </row>
    <row r="6" customFormat="false" ht="15" hidden="false" customHeight="false" outlineLevel="0" collapsed="false">
      <c r="A6" s="25" t="s">
        <v>17</v>
      </c>
      <c r="B6" s="22" t="n">
        <f aca="false">COUNTIF('요구사항 정의서'!G6:G118,"△")</f>
        <v>35</v>
      </c>
      <c r="C6" s="23" t="n">
        <f aca="false">B6/$B$9</f>
        <v>0.309734513274336</v>
      </c>
      <c r="D6" s="24" t="s">
        <v>424</v>
      </c>
    </row>
    <row r="7" customFormat="false" ht="15" hidden="false" customHeight="false" outlineLevel="0" collapsed="false">
      <c r="A7" s="26" t="s">
        <v>25</v>
      </c>
      <c r="B7" s="22" t="n">
        <f aca="false">COUNTIF('요구사항 정의서'!G6:G118,"X")</f>
        <v>27</v>
      </c>
      <c r="C7" s="23" t="n">
        <f aca="false">B7/$B$9</f>
        <v>0.238938053097345</v>
      </c>
      <c r="D7" s="24" t="s">
        <v>425</v>
      </c>
    </row>
    <row r="8" customFormat="false" ht="15" hidden="false" customHeight="false" outlineLevel="0" collapsed="false">
      <c r="A8" s="27" t="s">
        <v>59</v>
      </c>
      <c r="B8" s="22" t="n">
        <f aca="false">COUNTIF('요구사항 정의서'!G6:G118,"N/A")</f>
        <v>14</v>
      </c>
      <c r="C8" s="23" t="n">
        <f aca="false">B8/$B$9</f>
        <v>0.123893805309735</v>
      </c>
      <c r="D8" s="28" t="s">
        <v>426</v>
      </c>
    </row>
    <row r="9" customFormat="false" ht="15" hidden="false" customHeight="false" outlineLevel="0" collapsed="false">
      <c r="A9" s="29" t="s">
        <v>427</v>
      </c>
      <c r="B9" s="22" t="n">
        <f aca="false">SUM(B5:B8)</f>
        <v>113</v>
      </c>
      <c r="C9" s="23" t="n">
        <f aca="false">B9/B9</f>
        <v>1</v>
      </c>
      <c r="D9" s="24" t="s">
        <v>428</v>
      </c>
    </row>
    <row r="12" customFormat="false" ht="15" hidden="false" customHeight="false" outlineLevel="0" collapsed="false">
      <c r="A12" s="19" t="s">
        <v>429</v>
      </c>
    </row>
    <row r="13" customFormat="false" ht="15" hidden="false" customHeight="false" outlineLevel="0" collapsed="false">
      <c r="A13" s="20" t="s">
        <v>4</v>
      </c>
      <c r="B13" s="20" t="s">
        <v>430</v>
      </c>
      <c r="C13" s="30" t="s">
        <v>40</v>
      </c>
      <c r="D13" s="30" t="s">
        <v>17</v>
      </c>
      <c r="E13" s="30" t="s">
        <v>25</v>
      </c>
      <c r="F13" s="30" t="s">
        <v>59</v>
      </c>
      <c r="G13" s="20" t="s">
        <v>431</v>
      </c>
    </row>
    <row r="14" customFormat="false" ht="15" hidden="false" customHeight="false" outlineLevel="0" collapsed="false">
      <c r="A14" s="24" t="s">
        <v>12</v>
      </c>
      <c r="B14" s="31" t="n">
        <f aca="false">COUNTIF('요구사항 정의서'!B6:B118,"실내외기 자동 선정")</f>
        <v>1</v>
      </c>
      <c r="C14" s="31" t="n">
        <f aca="false">COUNTIFS('요구사항 정의서'!B6:B118,"실내외기 자동 선정",'요구사항 정의서'!G6:G118,"O")</f>
        <v>0</v>
      </c>
      <c r="D14" s="31" t="n">
        <f aca="false">COUNTIFS('요구사항 정의서'!B6:B118,"실내외기 자동 선정",'요구사항 정의서'!G6:G118,"△")</f>
        <v>1</v>
      </c>
      <c r="E14" s="31" t="n">
        <f aca="false">COUNTIFS('요구사항 정의서'!B6:B118,"실내외기 자동 선정",'요구사항 정의서'!G6:G118,"X")</f>
        <v>0</v>
      </c>
      <c r="F14" s="31" t="n">
        <f aca="false">COUNTIFS('요구사항 정의서'!B6:B118,"실내외기 자동 선정",'요구사항 정의서'!G6:G118,"N/A")</f>
        <v>0</v>
      </c>
      <c r="G14" s="32" t="n">
        <f aca="false">IF(B14=0,0,(C14+D14)/B14)</f>
        <v>1</v>
      </c>
    </row>
    <row r="15" customFormat="false" ht="15" hidden="false" customHeight="false" outlineLevel="0" collapsed="false">
      <c r="A15" s="24" t="s">
        <v>432</v>
      </c>
      <c r="B15" s="31" t="n">
        <f aca="false">COUNTIF('요구사항 정의서'!B6:B118,"데이터 분석(DS)")</f>
        <v>2</v>
      </c>
      <c r="C15" s="31" t="n">
        <f aca="false">COUNTIFS('요구사항 정의서'!B6:B118,"데이터 분석(DS)",'요구사항 정의서'!G6:G118,"O")</f>
        <v>0</v>
      </c>
      <c r="D15" s="31" t="n">
        <f aca="false">COUNTIFS('요구사항 정의서'!B6:B118,"데이터 분석(DS)",'요구사항 정의서'!G6:G118,"△")</f>
        <v>0</v>
      </c>
      <c r="E15" s="31" t="n">
        <f aca="false">COUNTIFS('요구사항 정의서'!B6:B118,"데이터 분석(DS)",'요구사항 정의서'!G6:G118,"X")</f>
        <v>2</v>
      </c>
      <c r="F15" s="31" t="n">
        <f aca="false">COUNTIFS('요구사항 정의서'!B6:B118,"데이터 분석(DS)",'요구사항 정의서'!G6:G118,"N/A")</f>
        <v>0</v>
      </c>
      <c r="G15" s="32" t="n">
        <f aca="false">IF(B15=0,0,(C15+D15)/B15)</f>
        <v>0</v>
      </c>
    </row>
    <row r="16" customFormat="false" ht="15" hidden="false" customHeight="false" outlineLevel="0" collapsed="false">
      <c r="A16" s="24" t="s">
        <v>31</v>
      </c>
      <c r="B16" s="31" t="n">
        <f aca="false">COUNTIF('요구사항 정의서'!B6:B118,"도면 업로드")</f>
        <v>13</v>
      </c>
      <c r="C16" s="31" t="n">
        <f aca="false">COUNTIFS('요구사항 정의서'!B6:B118,"도면 업로드",'요구사항 정의서'!G6:G118,"O")</f>
        <v>2</v>
      </c>
      <c r="D16" s="31" t="n">
        <f aca="false">COUNTIFS('요구사항 정의서'!B6:B118,"도면 업로드",'요구사항 정의서'!G6:G118,"△")</f>
        <v>6</v>
      </c>
      <c r="E16" s="31" t="n">
        <f aca="false">COUNTIFS('요구사항 정의서'!B6:B118,"도면 업로드",'요구사항 정의서'!G6:G118,"X")</f>
        <v>3</v>
      </c>
      <c r="F16" s="31" t="n">
        <f aca="false">COUNTIFS('요구사항 정의서'!B6:B118,"도면 업로드",'요구사항 정의서'!G6:G118,"N/A")</f>
        <v>2</v>
      </c>
      <c r="G16" s="32" t="n">
        <f aca="false">IF(B16=0,0,(C16+D16)/B16)</f>
        <v>0.615384615384615</v>
      </c>
    </row>
    <row r="17" customFormat="false" ht="15" hidden="false" customHeight="false" outlineLevel="0" collapsed="false">
      <c r="A17" s="24" t="s">
        <v>78</v>
      </c>
      <c r="B17" s="31" t="n">
        <f aca="false">COUNTIF('요구사항 정의서'!B6:B118,"분석 진행 현황")</f>
        <v>11</v>
      </c>
      <c r="C17" s="31" t="n">
        <f aca="false">COUNTIFS('요구사항 정의서'!B6:B118,"분석 진행 현황",'요구사항 정의서'!G6:G118,"O")</f>
        <v>1</v>
      </c>
      <c r="D17" s="31" t="n">
        <f aca="false">COUNTIFS('요구사항 정의서'!B6:B118,"분석 진행 현황",'요구사항 정의서'!G6:G118,"△")</f>
        <v>3</v>
      </c>
      <c r="E17" s="31" t="n">
        <f aca="false">COUNTIFS('요구사항 정의서'!B6:B118,"분석 진행 현황",'요구사항 정의서'!G6:G118,"X")</f>
        <v>2</v>
      </c>
      <c r="F17" s="31" t="n">
        <f aca="false">COUNTIFS('요구사항 정의서'!B6:B118,"분석 진행 현황",'요구사항 정의서'!G6:G118,"N/A")</f>
        <v>5</v>
      </c>
      <c r="G17" s="32" t="n">
        <f aca="false">IF(B17=0,0,(C17+D17)/B17)</f>
        <v>0.363636363636364</v>
      </c>
    </row>
    <row r="18" customFormat="false" ht="15" hidden="false" customHeight="false" outlineLevel="0" collapsed="false">
      <c r="A18" s="24" t="s">
        <v>113</v>
      </c>
      <c r="B18" s="31" t="n">
        <f aca="false">COUNTIF('요구사항 정의서'!B6:B118,"검도 결과 조회")</f>
        <v>30</v>
      </c>
      <c r="C18" s="31" t="n">
        <f aca="false">COUNTIFS('요구사항 정의서'!B6:B118,"검도 결과 조회",'요구사항 정의서'!G6:G118,"O")</f>
        <v>19</v>
      </c>
      <c r="D18" s="31" t="n">
        <f aca="false">COUNTIFS('요구사항 정의서'!B6:B118,"검도 결과 조회",'요구사항 정의서'!G6:G118,"△")</f>
        <v>8</v>
      </c>
      <c r="E18" s="31" t="n">
        <f aca="false">COUNTIFS('요구사항 정의서'!B6:B118,"검도 결과 조회",'요구사항 정의서'!G6:G118,"X")</f>
        <v>3</v>
      </c>
      <c r="F18" s="31" t="n">
        <f aca="false">COUNTIFS('요구사항 정의서'!B6:B118,"검도 결과 조회",'요구사항 정의서'!G6:G118,"N/A")</f>
        <v>0</v>
      </c>
      <c r="G18" s="32" t="n">
        <f aca="false">IF(B18=0,0,(C18+D18)/B18)</f>
        <v>0.9</v>
      </c>
    </row>
    <row r="19" customFormat="false" ht="15" hidden="false" customHeight="false" outlineLevel="0" collapsed="false">
      <c r="A19" s="24" t="s">
        <v>433</v>
      </c>
      <c r="B19" s="31" t="n">
        <f aca="false">COUNTIF('요구사항 정의서'!B6:B118,"사용자 검토·수정")</f>
        <v>15</v>
      </c>
      <c r="C19" s="31" t="n">
        <f aca="false">COUNTIFS('요구사항 정의서'!B6:B118,"사용자 검토·수정",'요구사항 정의서'!G6:G118,"O")</f>
        <v>0</v>
      </c>
      <c r="D19" s="31" t="n">
        <f aca="false">COUNTIFS('요구사항 정의서'!B6:B118,"사용자 검토·수정",'요구사항 정의서'!G6:G118,"△")</f>
        <v>4</v>
      </c>
      <c r="E19" s="31" t="n">
        <f aca="false">COUNTIFS('요구사항 정의서'!B6:B118,"사용자 검토·수정",'요구사항 정의서'!G6:G118,"X")</f>
        <v>7</v>
      </c>
      <c r="F19" s="31" t="n">
        <f aca="false">COUNTIFS('요구사항 정의서'!B6:B118,"사용자 검토·수정",'요구사항 정의서'!G6:G118,"N/A")</f>
        <v>4</v>
      </c>
      <c r="G19" s="32" t="n">
        <f aca="false">IF(B19=0,0,(C19+D19)/B19)</f>
        <v>0.266666666666667</v>
      </c>
    </row>
    <row r="20" customFormat="false" ht="15" hidden="false" customHeight="false" outlineLevel="0" collapsed="false">
      <c r="A20" s="24" t="s">
        <v>268</v>
      </c>
      <c r="B20" s="31" t="n">
        <f aca="false">COUNTIF('요구사항 정의서'!B6:B118,"결과물 다운로드")</f>
        <v>6</v>
      </c>
      <c r="C20" s="31" t="n">
        <f aca="false">COUNTIFS('요구사항 정의서'!B6:B118,"결과물 다운로드",'요구사항 정의서'!G6:G118,"O")</f>
        <v>0</v>
      </c>
      <c r="D20" s="31" t="n">
        <f aca="false">COUNTIFS('요구사항 정의서'!B6:B118,"결과물 다운로드",'요구사항 정의서'!G6:G118,"△")</f>
        <v>1</v>
      </c>
      <c r="E20" s="31" t="n">
        <f aca="false">COUNTIFS('요구사항 정의서'!B6:B118,"결과물 다운로드",'요구사항 정의서'!G6:G118,"X")</f>
        <v>4</v>
      </c>
      <c r="F20" s="31" t="n">
        <f aca="false">COUNTIFS('요구사항 정의서'!B6:B118,"결과물 다운로드",'요구사항 정의서'!G6:G118,"N/A")</f>
        <v>1</v>
      </c>
      <c r="G20" s="32" t="n">
        <f aca="false">IF(B20=0,0,(C20+D20)/B20)</f>
        <v>0.166666666666667</v>
      </c>
    </row>
    <row r="21" customFormat="false" ht="15" hidden="false" customHeight="false" outlineLevel="0" collapsed="false">
      <c r="A21" s="24" t="s">
        <v>289</v>
      </c>
      <c r="B21" s="31" t="n">
        <f aca="false">COUNTIF('요구사항 정의서'!B6:B118,"이력 관리")</f>
        <v>13</v>
      </c>
      <c r="C21" s="31" t="n">
        <f aca="false">COUNTIFS('요구사항 정의서'!B6:B118,"이력 관리",'요구사항 정의서'!G6:G118,"O")</f>
        <v>7</v>
      </c>
      <c r="D21" s="31" t="n">
        <f aca="false">COUNTIFS('요구사항 정의서'!B6:B118,"이력 관리",'요구사항 정의서'!G6:G118,"△")</f>
        <v>2</v>
      </c>
      <c r="E21" s="31" t="n">
        <f aca="false">COUNTIFS('요구사항 정의서'!B6:B118,"이력 관리",'요구사항 정의서'!G6:G118,"X")</f>
        <v>2</v>
      </c>
      <c r="F21" s="31" t="n">
        <f aca="false">COUNTIFS('요구사항 정의서'!B6:B118,"이력 관리",'요구사항 정의서'!G6:G118,"N/A")</f>
        <v>2</v>
      </c>
      <c r="G21" s="32" t="n">
        <f aca="false">IF(B21=0,0,(C21+D21)/B21)</f>
        <v>0.692307692307692</v>
      </c>
    </row>
    <row r="22" customFormat="false" ht="15" hidden="false" customHeight="false" outlineLevel="0" collapsed="false">
      <c r="A22" s="28" t="s">
        <v>434</v>
      </c>
      <c r="B22" s="31" t="n">
        <f aca="false">COUNTIF('요구사항 정의서'!B6:B118,"UI/UX 기획")</f>
        <v>11</v>
      </c>
      <c r="C22" s="31" t="n">
        <f aca="false">COUNTIFS('요구사항 정의서'!B6:B118,"UI/UX 기획",'요구사항 정의서'!G6:G118,"O")</f>
        <v>4</v>
      </c>
      <c r="D22" s="31" t="n">
        <f aca="false">COUNTIFS('요구사항 정의서'!B6:B118,"UI/UX 기획",'요구사항 정의서'!G6:G118,"△")</f>
        <v>5</v>
      </c>
      <c r="E22" s="31" t="n">
        <f aca="false">COUNTIFS('요구사항 정의서'!B6:B118,"UI/UX 기획",'요구사항 정의서'!G6:G118,"X")</f>
        <v>2</v>
      </c>
      <c r="F22" s="31" t="n">
        <f aca="false">COUNTIFS('요구사항 정의서'!B6:B118,"UI/UX 기획",'요구사항 정의서'!G6:G118,"N/A")</f>
        <v>0</v>
      </c>
      <c r="G22" s="32" t="n">
        <f aca="false">IF(B22=0,0,(C22+D22)/B22)</f>
        <v>0.818181818181818</v>
      </c>
    </row>
    <row r="23" customFormat="false" ht="15" hidden="false" customHeight="false" outlineLevel="0" collapsed="false">
      <c r="A23" s="28" t="s">
        <v>435</v>
      </c>
      <c r="B23" s="31" t="n">
        <f aca="false">COUNTIF('요구사항 정의서'!B6:B118,"UI/UX 디자인")</f>
        <v>11</v>
      </c>
      <c r="C23" s="31" t="n">
        <f aca="false">COUNTIFS('요구사항 정의서'!B6:B118,"UI/UX 디자인",'요구사항 정의서'!G6:G118,"O")</f>
        <v>4</v>
      </c>
      <c r="D23" s="31" t="n">
        <f aca="false">COUNTIFS('요구사항 정의서'!B6:B118,"UI/UX 디자인",'요구사항 정의서'!G6:G118,"△")</f>
        <v>5</v>
      </c>
      <c r="E23" s="31" t="n">
        <f aca="false">COUNTIFS('요구사항 정의서'!B6:B118,"UI/UX 디자인",'요구사항 정의서'!G6:G118,"X")</f>
        <v>2</v>
      </c>
      <c r="F23" s="31" t="n">
        <f aca="false">COUNTIFS('요구사항 정의서'!B6:B118,"UI/UX 디자인",'요구사항 정의서'!G6:G118,"N/A")</f>
        <v>0</v>
      </c>
      <c r="G23" s="32" t="n">
        <f aca="false">IF(B23=0,0,(C23+D23)/B23)</f>
        <v>0.818181818181818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8"/>
    <col collapsed="false" customWidth="true" hidden="false" outlineLevel="0" max="5" min="5" style="0" width="40"/>
    <col collapsed="false" customWidth="true" hidden="false" outlineLevel="0" max="6" min="6" style="0" width="48"/>
  </cols>
  <sheetData>
    <row r="1" customFormat="false" ht="27.75" hidden="false" customHeight="true" outlineLevel="0" collapsed="false">
      <c r="A1" s="33" t="s">
        <v>436</v>
      </c>
      <c r="B1" s="33"/>
      <c r="C1" s="33"/>
      <c r="D1" s="33"/>
      <c r="E1" s="33"/>
      <c r="F1" s="33"/>
    </row>
    <row r="3" customFormat="false" ht="31.5" hidden="false" customHeight="true" outlineLevel="0" collapsed="false">
      <c r="A3" s="30" t="s">
        <v>3</v>
      </c>
      <c r="B3" s="20" t="s">
        <v>437</v>
      </c>
      <c r="C3" s="20" t="s">
        <v>438</v>
      </c>
      <c r="D3" s="20" t="s">
        <v>419</v>
      </c>
      <c r="E3" s="20" t="s">
        <v>439</v>
      </c>
      <c r="F3" s="20" t="s">
        <v>440</v>
      </c>
    </row>
    <row r="4" customFormat="false" ht="37.5" hidden="false" customHeight="true" outlineLevel="0" collapsed="false">
      <c r="A4" s="34" t="n">
        <v>1</v>
      </c>
      <c r="B4" s="35" t="s">
        <v>12</v>
      </c>
      <c r="C4" s="35" t="s">
        <v>14</v>
      </c>
      <c r="D4" s="36" t="s">
        <v>17</v>
      </c>
      <c r="E4" s="35" t="s">
        <v>15</v>
      </c>
      <c r="F4" s="35" t="s">
        <v>19</v>
      </c>
    </row>
    <row r="5" customFormat="false" ht="37.5" hidden="false" customHeight="true" outlineLevel="0" collapsed="false">
      <c r="A5" s="34" t="n">
        <v>2</v>
      </c>
      <c r="B5" s="35" t="s">
        <v>20</v>
      </c>
      <c r="C5" s="35" t="s">
        <v>22</v>
      </c>
      <c r="D5" s="37" t="s">
        <v>25</v>
      </c>
      <c r="E5" s="35" t="s">
        <v>23</v>
      </c>
      <c r="F5" s="35" t="s">
        <v>27</v>
      </c>
    </row>
    <row r="6" customFormat="false" ht="37.5" hidden="false" customHeight="true" outlineLevel="0" collapsed="false">
      <c r="A6" s="34" t="n">
        <v>3</v>
      </c>
      <c r="B6" s="35" t="s">
        <v>20</v>
      </c>
      <c r="C6" s="35" t="s">
        <v>28</v>
      </c>
      <c r="D6" s="37" t="s">
        <v>25</v>
      </c>
      <c r="E6" s="35" t="s">
        <v>29</v>
      </c>
      <c r="F6" s="35" t="s">
        <v>30</v>
      </c>
    </row>
    <row r="7" customFormat="false" ht="37.5" hidden="false" customHeight="true" outlineLevel="0" collapsed="false">
      <c r="A7" s="34" t="n">
        <v>4</v>
      </c>
      <c r="B7" s="35" t="s">
        <v>31</v>
      </c>
      <c r="C7" s="35" t="s">
        <v>33</v>
      </c>
      <c r="D7" s="36" t="s">
        <v>17</v>
      </c>
      <c r="E7" s="35" t="s">
        <v>34</v>
      </c>
      <c r="F7" s="35" t="s">
        <v>37</v>
      </c>
    </row>
    <row r="8" customFormat="false" ht="37.5" hidden="false" customHeight="true" outlineLevel="0" collapsed="false">
      <c r="A8" s="34" t="n">
        <v>6</v>
      </c>
      <c r="B8" s="35" t="s">
        <v>31</v>
      </c>
      <c r="C8" s="35" t="s">
        <v>43</v>
      </c>
      <c r="D8" s="36" t="s">
        <v>17</v>
      </c>
      <c r="E8" s="35" t="s">
        <v>44</v>
      </c>
      <c r="F8" s="35" t="s">
        <v>46</v>
      </c>
    </row>
    <row r="9" customFormat="false" ht="37.5" hidden="false" customHeight="true" outlineLevel="0" collapsed="false">
      <c r="A9" s="34" t="n">
        <v>7</v>
      </c>
      <c r="B9" s="35" t="s">
        <v>31</v>
      </c>
      <c r="C9" s="35" t="s">
        <v>47</v>
      </c>
      <c r="D9" s="37" t="s">
        <v>25</v>
      </c>
      <c r="E9" s="38" t="s">
        <v>48</v>
      </c>
      <c r="F9" s="35" t="s">
        <v>49</v>
      </c>
    </row>
    <row r="10" customFormat="false" ht="37.5" hidden="false" customHeight="true" outlineLevel="0" collapsed="false">
      <c r="A10" s="34" t="n">
        <v>8</v>
      </c>
      <c r="B10" s="35" t="s">
        <v>31</v>
      </c>
      <c r="C10" s="35" t="s">
        <v>50</v>
      </c>
      <c r="D10" s="36" t="s">
        <v>17</v>
      </c>
      <c r="E10" s="38" t="s">
        <v>51</v>
      </c>
      <c r="F10" s="35" t="s">
        <v>52</v>
      </c>
    </row>
    <row r="11" customFormat="false" ht="37.5" hidden="false" customHeight="true" outlineLevel="0" collapsed="false">
      <c r="A11" s="34" t="n">
        <v>11</v>
      </c>
      <c r="B11" s="35" t="s">
        <v>31</v>
      </c>
      <c r="C11" s="35" t="s">
        <v>61</v>
      </c>
      <c r="D11" s="36" t="s">
        <v>17</v>
      </c>
      <c r="E11" s="35" t="s">
        <v>62</v>
      </c>
      <c r="F11" s="35" t="s">
        <v>63</v>
      </c>
    </row>
    <row r="12" customFormat="false" ht="37.5" hidden="false" customHeight="true" outlineLevel="0" collapsed="false">
      <c r="A12" s="34" t="n">
        <v>12</v>
      </c>
      <c r="B12" s="35" t="s">
        <v>31</v>
      </c>
      <c r="C12" s="35" t="s">
        <v>64</v>
      </c>
      <c r="D12" s="37" t="s">
        <v>25</v>
      </c>
      <c r="E12" s="35" t="s">
        <v>65</v>
      </c>
      <c r="F12" s="35" t="s">
        <v>66</v>
      </c>
    </row>
    <row r="13" customFormat="false" ht="37.5" hidden="false" customHeight="true" outlineLevel="0" collapsed="false">
      <c r="A13" s="34" t="n">
        <v>13</v>
      </c>
      <c r="B13" s="35" t="s">
        <v>31</v>
      </c>
      <c r="C13" s="35" t="s">
        <v>67</v>
      </c>
      <c r="D13" s="37" t="s">
        <v>25</v>
      </c>
      <c r="E13" s="35" t="s">
        <v>68</v>
      </c>
      <c r="F13" s="35" t="s">
        <v>69</v>
      </c>
    </row>
    <row r="14" customFormat="false" ht="37.5" hidden="false" customHeight="true" outlineLevel="0" collapsed="false">
      <c r="A14" s="34" t="n">
        <v>15</v>
      </c>
      <c r="B14" s="35" t="s">
        <v>31</v>
      </c>
      <c r="C14" s="35" t="s">
        <v>72</v>
      </c>
      <c r="D14" s="36" t="s">
        <v>17</v>
      </c>
      <c r="E14" s="35" t="s">
        <v>73</v>
      </c>
      <c r="F14" s="35" t="s">
        <v>74</v>
      </c>
    </row>
    <row r="15" customFormat="false" ht="37.5" hidden="false" customHeight="true" outlineLevel="0" collapsed="false">
      <c r="A15" s="34" t="n">
        <v>16</v>
      </c>
      <c r="B15" s="35" t="s">
        <v>31</v>
      </c>
      <c r="C15" s="35" t="s">
        <v>75</v>
      </c>
      <c r="D15" s="36" t="s">
        <v>17</v>
      </c>
      <c r="E15" s="35" t="s">
        <v>76</v>
      </c>
      <c r="F15" s="35" t="s">
        <v>77</v>
      </c>
    </row>
    <row r="16" customFormat="false" ht="37.5" hidden="false" customHeight="true" outlineLevel="0" collapsed="false">
      <c r="A16" s="34" t="n">
        <v>17</v>
      </c>
      <c r="B16" s="35" t="s">
        <v>78</v>
      </c>
      <c r="C16" s="35" t="s">
        <v>80</v>
      </c>
      <c r="D16" s="36" t="s">
        <v>17</v>
      </c>
      <c r="E16" s="35" t="s">
        <v>81</v>
      </c>
      <c r="F16" s="35" t="s">
        <v>84</v>
      </c>
    </row>
    <row r="17" customFormat="false" ht="37.5" hidden="false" customHeight="true" outlineLevel="0" collapsed="false">
      <c r="A17" s="34" t="n">
        <v>18</v>
      </c>
      <c r="B17" s="35" t="s">
        <v>78</v>
      </c>
      <c r="C17" s="35" t="s">
        <v>85</v>
      </c>
      <c r="D17" s="36" t="s">
        <v>17</v>
      </c>
      <c r="E17" s="35" t="s">
        <v>86</v>
      </c>
      <c r="F17" s="35" t="s">
        <v>88</v>
      </c>
    </row>
    <row r="18" customFormat="false" ht="37.5" hidden="false" customHeight="true" outlineLevel="0" collapsed="false">
      <c r="A18" s="34" t="n">
        <v>19</v>
      </c>
      <c r="B18" s="35" t="s">
        <v>78</v>
      </c>
      <c r="C18" s="35" t="s">
        <v>89</v>
      </c>
      <c r="D18" s="37" t="s">
        <v>25</v>
      </c>
      <c r="E18" s="35" t="s">
        <v>90</v>
      </c>
      <c r="F18" s="35" t="s">
        <v>91</v>
      </c>
    </row>
    <row r="19" customFormat="false" ht="37.5" hidden="false" customHeight="true" outlineLevel="0" collapsed="false">
      <c r="A19" s="34" t="n">
        <v>21</v>
      </c>
      <c r="B19" s="35" t="s">
        <v>78</v>
      </c>
      <c r="C19" s="35" t="s">
        <v>96</v>
      </c>
      <c r="D19" s="36" t="s">
        <v>17</v>
      </c>
      <c r="E19" s="35" t="s">
        <v>97</v>
      </c>
      <c r="F19" s="35" t="s">
        <v>99</v>
      </c>
    </row>
    <row r="20" customFormat="false" ht="37.5" hidden="false" customHeight="true" outlineLevel="0" collapsed="false">
      <c r="A20" s="34" t="n">
        <v>27</v>
      </c>
      <c r="B20" s="35" t="s">
        <v>78</v>
      </c>
      <c r="C20" s="35" t="s">
        <v>110</v>
      </c>
      <c r="D20" s="37" t="s">
        <v>25</v>
      </c>
      <c r="E20" s="35" t="s">
        <v>111</v>
      </c>
      <c r="F20" s="35" t="s">
        <v>112</v>
      </c>
    </row>
    <row r="21" customFormat="false" ht="37.5" hidden="false" customHeight="true" outlineLevel="0" collapsed="false">
      <c r="A21" s="34" t="n">
        <v>28</v>
      </c>
      <c r="B21" s="35" t="s">
        <v>113</v>
      </c>
      <c r="C21" s="35" t="s">
        <v>115</v>
      </c>
      <c r="D21" s="36" t="s">
        <v>17</v>
      </c>
      <c r="E21" s="38" t="s">
        <v>116</v>
      </c>
      <c r="F21" s="35" t="s">
        <v>119</v>
      </c>
    </row>
    <row r="22" customFormat="false" ht="37.5" hidden="false" customHeight="true" outlineLevel="0" collapsed="false">
      <c r="A22" s="34" t="n">
        <v>31</v>
      </c>
      <c r="B22" s="35" t="s">
        <v>113</v>
      </c>
      <c r="C22" s="35" t="s">
        <v>128</v>
      </c>
      <c r="D22" s="36" t="s">
        <v>17</v>
      </c>
      <c r="E22" s="35" t="s">
        <v>129</v>
      </c>
      <c r="F22" s="35" t="s">
        <v>131</v>
      </c>
    </row>
    <row r="23" customFormat="false" ht="37.5" hidden="false" customHeight="true" outlineLevel="0" collapsed="false">
      <c r="A23" s="34" t="n">
        <v>32</v>
      </c>
      <c r="B23" s="35" t="s">
        <v>113</v>
      </c>
      <c r="C23" s="35" t="s">
        <v>132</v>
      </c>
      <c r="D23" s="36" t="s">
        <v>17</v>
      </c>
      <c r="E23" s="38" t="s">
        <v>133</v>
      </c>
      <c r="F23" s="35" t="s">
        <v>135</v>
      </c>
    </row>
    <row r="24" customFormat="false" ht="37.5" hidden="false" customHeight="true" outlineLevel="0" collapsed="false">
      <c r="A24" s="34" t="n">
        <v>34</v>
      </c>
      <c r="B24" s="35" t="s">
        <v>113</v>
      </c>
      <c r="C24" s="35" t="s">
        <v>140</v>
      </c>
      <c r="D24" s="37" t="s">
        <v>25</v>
      </c>
      <c r="E24" s="35" t="s">
        <v>141</v>
      </c>
      <c r="F24" s="35" t="s">
        <v>142</v>
      </c>
    </row>
    <row r="25" customFormat="false" ht="37.5" hidden="false" customHeight="true" outlineLevel="0" collapsed="false">
      <c r="A25" s="34" t="n">
        <v>39</v>
      </c>
      <c r="B25" s="35" t="s">
        <v>113</v>
      </c>
      <c r="C25" s="35" t="s">
        <v>159</v>
      </c>
      <c r="D25" s="37" t="s">
        <v>25</v>
      </c>
      <c r="E25" s="35" t="s">
        <v>160</v>
      </c>
      <c r="F25" s="35" t="s">
        <v>161</v>
      </c>
    </row>
    <row r="26" customFormat="false" ht="37.5" hidden="false" customHeight="true" outlineLevel="0" collapsed="false">
      <c r="A26" s="34" t="n">
        <v>40</v>
      </c>
      <c r="B26" s="35" t="s">
        <v>113</v>
      </c>
      <c r="C26" s="35" t="s">
        <v>162</v>
      </c>
      <c r="D26" s="37" t="s">
        <v>25</v>
      </c>
      <c r="E26" s="35" t="s">
        <v>163</v>
      </c>
      <c r="F26" s="35" t="s">
        <v>164</v>
      </c>
    </row>
    <row r="27" customFormat="false" ht="37.5" hidden="false" customHeight="true" outlineLevel="0" collapsed="false">
      <c r="A27" s="34" t="n">
        <v>42</v>
      </c>
      <c r="B27" s="35" t="s">
        <v>113</v>
      </c>
      <c r="C27" s="35" t="s">
        <v>168</v>
      </c>
      <c r="D27" s="36" t="s">
        <v>17</v>
      </c>
      <c r="E27" s="35" t="s">
        <v>169</v>
      </c>
      <c r="F27" s="35" t="s">
        <v>171</v>
      </c>
    </row>
    <row r="28" customFormat="false" ht="37.5" hidden="false" customHeight="true" outlineLevel="0" collapsed="false">
      <c r="A28" s="34" t="n">
        <v>45</v>
      </c>
      <c r="B28" s="35" t="s">
        <v>113</v>
      </c>
      <c r="C28" s="35" t="s">
        <v>179</v>
      </c>
      <c r="D28" s="36" t="s">
        <v>17</v>
      </c>
      <c r="E28" s="35" t="s">
        <v>180</v>
      </c>
      <c r="F28" s="35" t="s">
        <v>182</v>
      </c>
    </row>
    <row r="29" customFormat="false" ht="37.5" hidden="false" customHeight="true" outlineLevel="0" collapsed="false">
      <c r="A29" s="34" t="n">
        <v>46</v>
      </c>
      <c r="B29" s="35" t="s">
        <v>113</v>
      </c>
      <c r="C29" s="35" t="s">
        <v>183</v>
      </c>
      <c r="D29" s="36" t="s">
        <v>17</v>
      </c>
      <c r="E29" s="35" t="s">
        <v>184</v>
      </c>
      <c r="F29" s="38" t="s">
        <v>186</v>
      </c>
    </row>
    <row r="30" customFormat="false" ht="37.5" hidden="false" customHeight="true" outlineLevel="0" collapsed="false">
      <c r="A30" s="34" t="n">
        <v>54</v>
      </c>
      <c r="B30" s="35" t="s">
        <v>113</v>
      </c>
      <c r="C30" s="35" t="s">
        <v>210</v>
      </c>
      <c r="D30" s="36" t="s">
        <v>17</v>
      </c>
      <c r="E30" s="35" t="s">
        <v>211</v>
      </c>
      <c r="F30" s="35" t="s">
        <v>212</v>
      </c>
    </row>
    <row r="31" customFormat="false" ht="37.5" hidden="false" customHeight="true" outlineLevel="0" collapsed="false">
      <c r="A31" s="34" t="n">
        <v>57</v>
      </c>
      <c r="B31" s="35" t="s">
        <v>113</v>
      </c>
      <c r="C31" s="35" t="s">
        <v>219</v>
      </c>
      <c r="D31" s="36" t="s">
        <v>17</v>
      </c>
      <c r="E31" s="35" t="s">
        <v>220</v>
      </c>
      <c r="F31" s="35" t="s">
        <v>221</v>
      </c>
    </row>
    <row r="32" customFormat="false" ht="37.5" hidden="false" customHeight="true" outlineLevel="0" collapsed="false">
      <c r="A32" s="34" t="n">
        <v>58</v>
      </c>
      <c r="B32" s="35" t="s">
        <v>222</v>
      </c>
      <c r="C32" s="35" t="s">
        <v>224</v>
      </c>
      <c r="D32" s="36" t="s">
        <v>17</v>
      </c>
      <c r="E32" s="38" t="s">
        <v>225</v>
      </c>
      <c r="F32" s="35" t="s">
        <v>228</v>
      </c>
    </row>
    <row r="33" customFormat="false" ht="37.5" hidden="false" customHeight="true" outlineLevel="0" collapsed="false">
      <c r="A33" s="34" t="n">
        <v>59</v>
      </c>
      <c r="B33" s="35" t="s">
        <v>222</v>
      </c>
      <c r="C33" s="35" t="s">
        <v>229</v>
      </c>
      <c r="D33" s="37" t="s">
        <v>25</v>
      </c>
      <c r="E33" s="35" t="s">
        <v>230</v>
      </c>
      <c r="F33" s="35" t="s">
        <v>231</v>
      </c>
    </row>
    <row r="34" customFormat="false" ht="37.5" hidden="false" customHeight="true" outlineLevel="0" collapsed="false">
      <c r="A34" s="34" t="n">
        <v>62</v>
      </c>
      <c r="B34" s="35" t="s">
        <v>222</v>
      </c>
      <c r="C34" s="35" t="s">
        <v>236</v>
      </c>
      <c r="D34" s="36" t="s">
        <v>17</v>
      </c>
      <c r="E34" s="38" t="s">
        <v>237</v>
      </c>
      <c r="F34" s="35" t="s">
        <v>74</v>
      </c>
    </row>
    <row r="35" customFormat="false" ht="37.5" hidden="false" customHeight="true" outlineLevel="0" collapsed="false">
      <c r="A35" s="34" t="n">
        <v>63</v>
      </c>
      <c r="B35" s="35" t="s">
        <v>222</v>
      </c>
      <c r="C35" s="35" t="s">
        <v>239</v>
      </c>
      <c r="D35" s="36" t="s">
        <v>17</v>
      </c>
      <c r="E35" s="35" t="s">
        <v>240</v>
      </c>
      <c r="F35" s="35" t="s">
        <v>242</v>
      </c>
    </row>
    <row r="36" customFormat="false" ht="37.5" hidden="false" customHeight="true" outlineLevel="0" collapsed="false">
      <c r="A36" s="34" t="n">
        <v>64</v>
      </c>
      <c r="B36" s="35" t="s">
        <v>222</v>
      </c>
      <c r="C36" s="35" t="s">
        <v>243</v>
      </c>
      <c r="D36" s="37" t="s">
        <v>25</v>
      </c>
      <c r="E36" s="35" t="s">
        <v>244</v>
      </c>
      <c r="F36" s="35" t="s">
        <v>245</v>
      </c>
    </row>
    <row r="37" customFormat="false" ht="37.5" hidden="false" customHeight="true" outlineLevel="0" collapsed="false">
      <c r="A37" s="34" t="n">
        <v>66</v>
      </c>
      <c r="B37" s="35" t="s">
        <v>222</v>
      </c>
      <c r="C37" s="35" t="s">
        <v>248</v>
      </c>
      <c r="D37" s="37" t="s">
        <v>25</v>
      </c>
      <c r="E37" s="35" t="s">
        <v>249</v>
      </c>
      <c r="F37" s="38" t="s">
        <v>250</v>
      </c>
    </row>
    <row r="38" customFormat="false" ht="37.5" hidden="false" customHeight="true" outlineLevel="0" collapsed="false">
      <c r="A38" s="34" t="n">
        <v>67</v>
      </c>
      <c r="B38" s="35" t="s">
        <v>222</v>
      </c>
      <c r="C38" s="35" t="s">
        <v>251</v>
      </c>
      <c r="D38" s="36" t="s">
        <v>17</v>
      </c>
      <c r="E38" s="35" t="s">
        <v>252</v>
      </c>
      <c r="F38" s="35" t="s">
        <v>253</v>
      </c>
    </row>
    <row r="39" customFormat="false" ht="37.5" hidden="false" customHeight="true" outlineLevel="0" collapsed="false">
      <c r="A39" s="34" t="n">
        <v>68</v>
      </c>
      <c r="B39" s="35" t="s">
        <v>222</v>
      </c>
      <c r="C39" s="35" t="s">
        <v>254</v>
      </c>
      <c r="D39" s="37" t="s">
        <v>25</v>
      </c>
      <c r="E39" s="35" t="s">
        <v>255</v>
      </c>
      <c r="F39" s="35" t="s">
        <v>256</v>
      </c>
    </row>
    <row r="40" customFormat="false" ht="37.5" hidden="false" customHeight="true" outlineLevel="0" collapsed="false">
      <c r="A40" s="34" t="n">
        <v>69</v>
      </c>
      <c r="B40" s="35" t="s">
        <v>222</v>
      </c>
      <c r="C40" s="35" t="s">
        <v>257</v>
      </c>
      <c r="D40" s="37" t="s">
        <v>25</v>
      </c>
      <c r="E40" s="35" t="s">
        <v>258</v>
      </c>
      <c r="F40" s="35" t="s">
        <v>259</v>
      </c>
    </row>
    <row r="41" customFormat="false" ht="37.5" hidden="false" customHeight="true" outlineLevel="0" collapsed="false">
      <c r="A41" s="34" t="n">
        <v>71</v>
      </c>
      <c r="B41" s="35" t="s">
        <v>222</v>
      </c>
      <c r="C41" s="35" t="s">
        <v>262</v>
      </c>
      <c r="D41" s="37" t="s">
        <v>25</v>
      </c>
      <c r="E41" s="35" t="s">
        <v>263</v>
      </c>
      <c r="F41" s="35" t="s">
        <v>264</v>
      </c>
    </row>
    <row r="42" customFormat="false" ht="37.5" hidden="false" customHeight="true" outlineLevel="0" collapsed="false">
      <c r="A42" s="34" t="n">
        <v>72</v>
      </c>
      <c r="B42" s="35" t="s">
        <v>222</v>
      </c>
      <c r="C42" s="35" t="s">
        <v>265</v>
      </c>
      <c r="D42" s="37" t="s">
        <v>25</v>
      </c>
      <c r="E42" s="35" t="s">
        <v>266</v>
      </c>
      <c r="F42" s="35" t="s">
        <v>267</v>
      </c>
    </row>
    <row r="43" customFormat="false" ht="37.5" hidden="false" customHeight="true" outlineLevel="0" collapsed="false">
      <c r="A43" s="34" t="n">
        <v>73</v>
      </c>
      <c r="B43" s="35" t="s">
        <v>268</v>
      </c>
      <c r="C43" s="35" t="s">
        <v>270</v>
      </c>
      <c r="D43" s="36" t="s">
        <v>17</v>
      </c>
      <c r="E43" s="38" t="s">
        <v>271</v>
      </c>
      <c r="F43" s="38" t="s">
        <v>274</v>
      </c>
    </row>
    <row r="44" customFormat="false" ht="37.5" hidden="false" customHeight="true" outlineLevel="0" collapsed="false">
      <c r="A44" s="34" t="n">
        <v>74</v>
      </c>
      <c r="B44" s="35" t="s">
        <v>268</v>
      </c>
      <c r="C44" s="35" t="s">
        <v>275</v>
      </c>
      <c r="D44" s="37" t="s">
        <v>25</v>
      </c>
      <c r="E44" s="35" t="s">
        <v>276</v>
      </c>
      <c r="F44" s="38" t="s">
        <v>277</v>
      </c>
    </row>
    <row r="45" customFormat="false" ht="37.5" hidden="false" customHeight="true" outlineLevel="0" collapsed="false">
      <c r="A45" s="34" t="n">
        <v>75</v>
      </c>
      <c r="B45" s="35" t="s">
        <v>268</v>
      </c>
      <c r="C45" s="35" t="s">
        <v>278</v>
      </c>
      <c r="D45" s="37" t="s">
        <v>25</v>
      </c>
      <c r="E45" s="35" t="s">
        <v>279</v>
      </c>
      <c r="F45" s="35" t="s">
        <v>280</v>
      </c>
    </row>
    <row r="46" customFormat="false" ht="37.5" hidden="false" customHeight="true" outlineLevel="0" collapsed="false">
      <c r="A46" s="34" t="n">
        <v>77</v>
      </c>
      <c r="B46" s="35" t="s">
        <v>268</v>
      </c>
      <c r="C46" s="35" t="s">
        <v>283</v>
      </c>
      <c r="D46" s="37" t="s">
        <v>25</v>
      </c>
      <c r="E46" s="38" t="s">
        <v>284</v>
      </c>
      <c r="F46" s="35" t="s">
        <v>285</v>
      </c>
    </row>
    <row r="47" customFormat="false" ht="37.5" hidden="false" customHeight="true" outlineLevel="0" collapsed="false">
      <c r="A47" s="34" t="n">
        <v>78</v>
      </c>
      <c r="B47" s="35" t="s">
        <v>268</v>
      </c>
      <c r="C47" s="35" t="s">
        <v>286</v>
      </c>
      <c r="D47" s="37" t="s">
        <v>25</v>
      </c>
      <c r="E47" s="35" t="s">
        <v>287</v>
      </c>
      <c r="F47" s="38" t="s">
        <v>288</v>
      </c>
    </row>
    <row r="48" customFormat="false" ht="37.5" hidden="false" customHeight="true" outlineLevel="0" collapsed="false">
      <c r="A48" s="34" t="n">
        <v>86</v>
      </c>
      <c r="B48" s="35" t="s">
        <v>289</v>
      </c>
      <c r="C48" s="35" t="s">
        <v>316</v>
      </c>
      <c r="D48" s="37" t="s">
        <v>25</v>
      </c>
      <c r="E48" s="35" t="s">
        <v>317</v>
      </c>
      <c r="F48" s="35" t="s">
        <v>318</v>
      </c>
    </row>
    <row r="49" customFormat="false" ht="37.5" hidden="false" customHeight="true" outlineLevel="0" collapsed="false">
      <c r="A49" s="34" t="n">
        <v>87</v>
      </c>
      <c r="B49" s="35" t="s">
        <v>289</v>
      </c>
      <c r="C49" s="35" t="s">
        <v>319</v>
      </c>
      <c r="D49" s="37" t="s">
        <v>25</v>
      </c>
      <c r="E49" s="35" t="s">
        <v>320</v>
      </c>
      <c r="F49" s="35" t="s">
        <v>321</v>
      </c>
    </row>
    <row r="50" customFormat="false" ht="37.5" hidden="false" customHeight="true" outlineLevel="0" collapsed="false">
      <c r="A50" s="34" t="n">
        <v>89</v>
      </c>
      <c r="B50" s="35" t="s">
        <v>289</v>
      </c>
      <c r="C50" s="35" t="s">
        <v>324</v>
      </c>
      <c r="D50" s="36" t="s">
        <v>17</v>
      </c>
      <c r="E50" s="35" t="s">
        <v>325</v>
      </c>
      <c r="F50" s="35" t="s">
        <v>326</v>
      </c>
    </row>
    <row r="51" customFormat="false" ht="37.5" hidden="false" customHeight="true" outlineLevel="0" collapsed="false">
      <c r="A51" s="34" t="n">
        <v>90</v>
      </c>
      <c r="B51" s="35" t="s">
        <v>289</v>
      </c>
      <c r="C51" s="35" t="s">
        <v>327</v>
      </c>
      <c r="D51" s="36" t="s">
        <v>17</v>
      </c>
      <c r="E51" s="35" t="s">
        <v>328</v>
      </c>
      <c r="F51" s="35" t="s">
        <v>330</v>
      </c>
    </row>
    <row r="52" customFormat="false" ht="37.5" hidden="false" customHeight="true" outlineLevel="0" collapsed="false">
      <c r="A52" s="34" t="n">
        <v>92</v>
      </c>
      <c r="B52" s="38" t="s">
        <v>333</v>
      </c>
      <c r="C52" s="35" t="s">
        <v>335</v>
      </c>
      <c r="D52" s="36" t="s">
        <v>17</v>
      </c>
      <c r="E52" s="35" t="s">
        <v>336</v>
      </c>
      <c r="F52" s="35" t="s">
        <v>338</v>
      </c>
    </row>
    <row r="53" customFormat="false" ht="37.5" hidden="false" customHeight="true" outlineLevel="0" collapsed="false">
      <c r="A53" s="34" t="n">
        <v>93</v>
      </c>
      <c r="B53" s="38" t="s">
        <v>333</v>
      </c>
      <c r="C53" s="35" t="s">
        <v>339</v>
      </c>
      <c r="D53" s="36" t="s">
        <v>17</v>
      </c>
      <c r="E53" s="35" t="s">
        <v>340</v>
      </c>
      <c r="F53" s="35" t="s">
        <v>342</v>
      </c>
    </row>
    <row r="54" customFormat="false" ht="37.5" hidden="false" customHeight="true" outlineLevel="0" collapsed="false">
      <c r="A54" s="34" t="n">
        <v>95</v>
      </c>
      <c r="B54" s="38" t="s">
        <v>333</v>
      </c>
      <c r="C54" s="35" t="s">
        <v>347</v>
      </c>
      <c r="D54" s="36" t="s">
        <v>17</v>
      </c>
      <c r="E54" s="35" t="s">
        <v>348</v>
      </c>
      <c r="F54" s="35" t="s">
        <v>349</v>
      </c>
    </row>
    <row r="55" customFormat="false" ht="37.5" hidden="false" customHeight="true" outlineLevel="0" collapsed="false">
      <c r="A55" s="34" t="n">
        <v>96</v>
      </c>
      <c r="B55" s="38" t="s">
        <v>333</v>
      </c>
      <c r="C55" s="35" t="s">
        <v>350</v>
      </c>
      <c r="D55" s="36" t="s">
        <v>17</v>
      </c>
      <c r="E55" s="35" t="s">
        <v>351</v>
      </c>
      <c r="F55" s="35" t="s">
        <v>352</v>
      </c>
    </row>
    <row r="56" customFormat="false" ht="37.5" hidden="false" customHeight="true" outlineLevel="0" collapsed="false">
      <c r="A56" s="34" t="n">
        <v>97</v>
      </c>
      <c r="B56" s="38" t="s">
        <v>333</v>
      </c>
      <c r="C56" s="35" t="s">
        <v>353</v>
      </c>
      <c r="D56" s="36" t="s">
        <v>17</v>
      </c>
      <c r="E56" s="35" t="s">
        <v>354</v>
      </c>
      <c r="F56" s="35" t="s">
        <v>355</v>
      </c>
    </row>
    <row r="57" customFormat="false" ht="37.5" hidden="false" customHeight="true" outlineLevel="0" collapsed="false">
      <c r="A57" s="34" t="n">
        <v>99</v>
      </c>
      <c r="B57" s="38" t="s">
        <v>333</v>
      </c>
      <c r="C57" s="35" t="s">
        <v>360</v>
      </c>
      <c r="D57" s="37" t="s">
        <v>25</v>
      </c>
      <c r="E57" s="35" t="s">
        <v>361</v>
      </c>
      <c r="F57" s="35" t="s">
        <v>362</v>
      </c>
    </row>
    <row r="58" customFormat="false" ht="37.5" hidden="false" customHeight="true" outlineLevel="0" collapsed="false">
      <c r="A58" s="34" t="n">
        <v>100</v>
      </c>
      <c r="B58" s="38" t="s">
        <v>333</v>
      </c>
      <c r="C58" s="35" t="s">
        <v>363</v>
      </c>
      <c r="D58" s="37" t="s">
        <v>25</v>
      </c>
      <c r="E58" s="35" t="s">
        <v>364</v>
      </c>
      <c r="F58" s="35" t="s">
        <v>365</v>
      </c>
    </row>
    <row r="59" customFormat="false" ht="37.5" hidden="false" customHeight="true" outlineLevel="0" collapsed="false">
      <c r="A59" s="34" t="n">
        <v>103</v>
      </c>
      <c r="B59" s="38" t="s">
        <v>374</v>
      </c>
      <c r="C59" s="35" t="s">
        <v>376</v>
      </c>
      <c r="D59" s="36" t="s">
        <v>17</v>
      </c>
      <c r="E59" s="35" t="s">
        <v>377</v>
      </c>
      <c r="F59" s="35" t="s">
        <v>379</v>
      </c>
    </row>
    <row r="60" customFormat="false" ht="37.5" hidden="false" customHeight="true" outlineLevel="0" collapsed="false">
      <c r="A60" s="34" t="n">
        <v>104</v>
      </c>
      <c r="B60" s="38" t="s">
        <v>374</v>
      </c>
      <c r="C60" s="35" t="s">
        <v>380</v>
      </c>
      <c r="D60" s="36" t="s">
        <v>17</v>
      </c>
      <c r="E60" s="35" t="s">
        <v>381</v>
      </c>
      <c r="F60" s="35" t="s">
        <v>383</v>
      </c>
    </row>
    <row r="61" customFormat="false" ht="37.5" hidden="false" customHeight="true" outlineLevel="0" collapsed="false">
      <c r="A61" s="34" t="n">
        <v>106</v>
      </c>
      <c r="B61" s="38" t="s">
        <v>374</v>
      </c>
      <c r="C61" s="35" t="s">
        <v>388</v>
      </c>
      <c r="D61" s="36" t="s">
        <v>17</v>
      </c>
      <c r="E61" s="35" t="s">
        <v>389</v>
      </c>
      <c r="F61" s="35" t="s">
        <v>391</v>
      </c>
    </row>
    <row r="62" customFormat="false" ht="37.5" hidden="false" customHeight="true" outlineLevel="0" collapsed="false">
      <c r="A62" s="34" t="n">
        <v>108</v>
      </c>
      <c r="B62" s="38" t="s">
        <v>374</v>
      </c>
      <c r="C62" s="35" t="s">
        <v>396</v>
      </c>
      <c r="D62" s="36" t="s">
        <v>17</v>
      </c>
      <c r="E62" s="35" t="s">
        <v>397</v>
      </c>
      <c r="F62" s="35" t="s">
        <v>398</v>
      </c>
    </row>
    <row r="63" customFormat="false" ht="37.5" hidden="false" customHeight="true" outlineLevel="0" collapsed="false">
      <c r="A63" s="34" t="n">
        <v>111</v>
      </c>
      <c r="B63" s="38" t="s">
        <v>374</v>
      </c>
      <c r="C63" s="38" t="s">
        <v>407</v>
      </c>
      <c r="D63" s="37" t="s">
        <v>25</v>
      </c>
      <c r="E63" s="35" t="s">
        <v>408</v>
      </c>
      <c r="F63" s="38" t="s">
        <v>409</v>
      </c>
    </row>
    <row r="64" customFormat="false" ht="37.5" hidden="false" customHeight="true" outlineLevel="0" collapsed="false">
      <c r="A64" s="34" t="n">
        <v>112</v>
      </c>
      <c r="B64" s="38" t="s">
        <v>374</v>
      </c>
      <c r="C64" s="35" t="s">
        <v>410</v>
      </c>
      <c r="D64" s="36" t="s">
        <v>17</v>
      </c>
      <c r="E64" s="38" t="s">
        <v>411</v>
      </c>
      <c r="F64" s="35" t="s">
        <v>413</v>
      </c>
    </row>
    <row r="65" customFormat="false" ht="37.5" hidden="false" customHeight="true" outlineLevel="0" collapsed="false">
      <c r="A65" s="34" t="n">
        <v>113</v>
      </c>
      <c r="B65" s="38" t="s">
        <v>374</v>
      </c>
      <c r="C65" s="35" t="s">
        <v>414</v>
      </c>
      <c r="D65" s="37" t="s">
        <v>25</v>
      </c>
      <c r="E65" s="35" t="s">
        <v>415</v>
      </c>
      <c r="F65" s="35" t="s">
        <v>416</v>
      </c>
    </row>
  </sheetData>
  <autoFilter ref="A3:F65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2026-05-28T04:27:38Z</dcterms:created>
  <dc:creator>openpyxl</dc:creator>
  <dc:description/>
  <dc:language>en-US</dc:language>
  <cp:lastModifiedBy/>
  <dcterms:modified xsi:type="dcterms:W3CDTF">2026-05-28T04:27:38Z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