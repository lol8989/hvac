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모델별_비교" sheetId="2" state="visible" r:id="rId4"/>
    <sheet name="선정표_실내기" sheetId="3" state="visible" r:id="rId5"/>
    <sheet name="항목_비교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<sst xmlns="http://schemas.openxmlformats.org/spreadsheetml/2006/main" count="440" uniqueCount="246">
  <si>
    <r>
      <rPr>
        <b val="true"/>
        <sz val="15"/>
        <rFont val="Noto Sans CJK SC"/>
        <family val="2"/>
      </rPr>
      <t xml:space="preserve">장비일람표</t>
    </r>
    <r>
      <rPr>
        <b val="true"/>
        <sz val="15"/>
        <rFont val="Malgun Gothic"/>
        <family val="0"/>
        <charset val="1"/>
      </rPr>
      <t xml:space="preserve">(</t>
    </r>
    <r>
      <rPr>
        <b val="true"/>
        <sz val="15"/>
        <rFont val="Noto Sans CJK SC"/>
        <family val="2"/>
      </rPr>
      <t xml:space="preserve">도면 이미지</t>
    </r>
    <r>
      <rPr>
        <b val="true"/>
        <sz val="15"/>
        <rFont val="Malgun Gothic"/>
        <family val="0"/>
        <charset val="1"/>
      </rPr>
      <t xml:space="preserve">) vs </t>
    </r>
    <r>
      <rPr>
        <b val="true"/>
        <sz val="15"/>
        <rFont val="Noto Sans CJK SC"/>
        <family val="2"/>
      </rPr>
      <t xml:space="preserve">장비선정표 비교 결과 보고</t>
    </r>
  </si>
  <si>
    <r>
      <rPr>
        <sz val="9"/>
        <color rgb="FF808080"/>
        <rFont val="Noto Sans CJK SC"/>
        <family val="2"/>
      </rPr>
      <t xml:space="preserve">작성일</t>
    </r>
    <r>
      <rPr>
        <sz val="9"/>
        <color rgb="FF808080"/>
        <rFont val="Malgun Gothic"/>
        <family val="0"/>
        <charset val="1"/>
      </rPr>
      <t xml:space="preserve">: 2026-07-09  /  </t>
    </r>
    <r>
      <rPr>
        <sz val="9"/>
        <color rgb="FF808080"/>
        <rFont val="Noto Sans CJK SC"/>
        <family val="2"/>
      </rPr>
      <t xml:space="preserve">비교대상</t>
    </r>
    <r>
      <rPr>
        <sz val="9"/>
        <color rgb="FF808080"/>
        <rFont val="Malgun Gothic"/>
        <family val="0"/>
        <charset val="1"/>
      </rPr>
      <t xml:space="preserve">: ① </t>
    </r>
    <r>
      <rPr>
        <sz val="9"/>
        <color rgb="FF808080"/>
        <rFont val="Noto Sans CJK SC"/>
        <family val="2"/>
      </rPr>
      <t xml:space="preserve">업로드 도면 이미지 </t>
    </r>
    <r>
      <rPr>
        <sz val="9"/>
        <color rgb="FF808080"/>
        <rFont val="Malgun Gothic"/>
        <family val="0"/>
        <charset val="1"/>
      </rPr>
      <t xml:space="preserve">'LG </t>
    </r>
    <r>
      <rPr>
        <sz val="9"/>
        <color rgb="FF808080"/>
        <rFont val="Noto Sans CJK SC"/>
        <family val="2"/>
      </rPr>
      <t xml:space="preserve">시스템에어컨 실내기</t>
    </r>
    <r>
      <rPr>
        <sz val="9"/>
        <color rgb="FF808080"/>
        <rFont val="Malgun Gothic"/>
        <family val="0"/>
        <charset val="1"/>
      </rPr>
      <t xml:space="preserve">' </t>
    </r>
    <r>
      <rPr>
        <sz val="9"/>
        <color rgb="FF808080"/>
        <rFont val="Noto Sans CJK SC"/>
        <family val="2"/>
      </rPr>
      <t xml:space="preserve">장비일람표</t>
    </r>
    <r>
      <rPr>
        <sz val="9"/>
        <color rgb="FF808080"/>
        <rFont val="Malgun Gothic"/>
        <family val="0"/>
        <charset val="1"/>
      </rPr>
      <t xml:space="preserve">(50</t>
    </r>
    <r>
      <rPr>
        <sz val="9"/>
        <color rgb="FF808080"/>
        <rFont val="Noto Sans CJK SC"/>
        <family val="2"/>
      </rPr>
      <t xml:space="preserve">대</t>
    </r>
    <r>
      <rPr>
        <sz val="9"/>
        <color rgb="FF808080"/>
        <rFont val="Malgun Gothic"/>
        <family val="0"/>
        <charset val="1"/>
      </rPr>
      <t xml:space="preserve">)  ② </t>
    </r>
    <r>
      <rPr>
        <sz val="9"/>
        <color rgb="FF808080"/>
        <rFont val="Noto Sans CJK SC"/>
        <family val="2"/>
      </rPr>
      <t xml:space="preserve">표준 </t>
    </r>
    <r>
      <rPr>
        <sz val="9"/>
        <color rgb="FF808080"/>
        <rFont val="Malgun Gothic"/>
        <family val="0"/>
        <charset val="1"/>
      </rPr>
      <t xml:space="preserve">260415 </t>
    </r>
    <r>
      <rPr>
        <sz val="9"/>
        <color rgb="FF808080"/>
        <rFont val="Noto Sans CJK SC"/>
        <family val="2"/>
      </rPr>
      <t xml:space="preserve">장비선정표 모음</t>
    </r>
    <r>
      <rPr>
        <sz val="9"/>
        <color rgb="FF808080"/>
        <rFont val="Malgun Gothic"/>
        <family val="0"/>
        <charset val="1"/>
      </rPr>
      <t xml:space="preserve">_</t>
    </r>
    <r>
      <rPr>
        <sz val="9"/>
        <color rgb="FF808080"/>
        <rFont val="Noto Sans CJK SC"/>
        <family val="2"/>
      </rPr>
      <t xml:space="preserve">민수</t>
    </r>
    <r>
      <rPr>
        <sz val="9"/>
        <color rgb="FF808080"/>
        <rFont val="Malgun Gothic"/>
        <family val="0"/>
        <charset val="1"/>
      </rPr>
      <t xml:space="preserve">.xlsx &gt; LG</t>
    </r>
    <r>
      <rPr>
        <sz val="9"/>
        <color rgb="FF808080"/>
        <rFont val="Noto Sans CJK SC"/>
        <family val="2"/>
      </rPr>
      <t xml:space="preserve">제품 시트</t>
    </r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실내기 </t>
    </r>
    <r>
      <rPr>
        <sz val="9"/>
        <color rgb="FF808080"/>
        <rFont val="Malgun Gothic"/>
        <family val="0"/>
        <charset val="1"/>
      </rPr>
      <t xml:space="preserve">71</t>
    </r>
    <r>
      <rPr>
        <sz val="9"/>
        <color rgb="FF808080"/>
        <rFont val="Noto Sans CJK SC"/>
        <family val="2"/>
      </rPr>
      <t xml:space="preserve">개 모델</t>
    </r>
    <r>
      <rPr>
        <sz val="9"/>
        <color rgb="FF808080"/>
        <rFont val="Malgun Gothic"/>
        <family val="0"/>
        <charset val="1"/>
      </rPr>
      <t xml:space="preserve">)</t>
    </r>
  </si>
  <si>
    <r>
      <rPr>
        <sz val="9"/>
        <color rgb="FFC00000"/>
        <rFont val="Noto Sans CJK SC"/>
        <family val="2"/>
      </rPr>
      <t xml:space="preserve">※ 장비일람표</t>
    </r>
    <r>
      <rPr>
        <sz val="9"/>
        <color rgb="FFC00000"/>
        <rFont val="Malgun Gothic"/>
        <family val="0"/>
        <charset val="1"/>
      </rPr>
      <t xml:space="preserve">.xlsx</t>
    </r>
    <r>
      <rPr>
        <sz val="9"/>
        <color rgb="FFC00000"/>
        <rFont val="Noto Sans CJK SC"/>
        <family val="2"/>
      </rPr>
      <t xml:space="preserve">는 요청에 따라 비교에서 제외</t>
    </r>
    <r>
      <rPr>
        <sz val="9"/>
        <color rgb="FFC00000"/>
        <rFont val="Malgun Gothic"/>
        <family val="0"/>
        <charset val="1"/>
      </rPr>
      <t xml:space="preserve">. </t>
    </r>
    <r>
      <rPr>
        <sz val="9"/>
        <color rgb="FFC00000"/>
        <rFont val="Noto Sans CJK SC"/>
        <family val="2"/>
      </rPr>
      <t xml:space="preserve">도면 측 값은 이미지 판독 기반이며</t>
    </r>
    <r>
      <rPr>
        <sz val="9"/>
        <color rgb="FFC00000"/>
        <rFont val="Malgun Gothic"/>
        <family val="0"/>
        <charset val="1"/>
      </rPr>
      <t xml:space="preserve">, ★ </t>
    </r>
    <r>
      <rPr>
        <sz val="9"/>
        <color rgb="FFC00000"/>
        <rFont val="Noto Sans CJK SC"/>
        <family val="2"/>
      </rPr>
      <t xml:space="preserve">표시 행은 원본 </t>
    </r>
    <r>
      <rPr>
        <sz val="9"/>
        <color rgb="FFC00000"/>
        <rFont val="Malgun Gothic"/>
        <family val="0"/>
        <charset val="1"/>
      </rPr>
      <t xml:space="preserve">CAD</t>
    </r>
    <r>
      <rPr>
        <sz val="9"/>
        <color rgb="FFC00000"/>
        <rFont val="Noto Sans CJK SC"/>
        <family val="2"/>
      </rPr>
      <t xml:space="preserve">에서 재확인 권장</t>
    </r>
    <r>
      <rPr>
        <sz val="9"/>
        <color rgb="FFC00000"/>
        <rFont val="Malgun Gothic"/>
        <family val="0"/>
        <charset val="1"/>
      </rPr>
      <t xml:space="preserve">.</t>
    </r>
  </si>
  <si>
    <r>
      <rPr>
        <b val="true"/>
        <sz val="11"/>
        <color rgb="FF1F4E79"/>
        <rFont val="Malgun Gothic"/>
        <family val="0"/>
        <charset val="1"/>
      </rPr>
      <t xml:space="preserve">1. </t>
    </r>
    <r>
      <rPr>
        <b val="true"/>
        <sz val="11"/>
        <color rgb="FF1F4E79"/>
        <rFont val="Noto Sans CJK SC"/>
        <family val="2"/>
      </rPr>
      <t xml:space="preserve">비교 통계</t>
    </r>
  </si>
  <si>
    <t xml:space="preserve">도면 장비일람표 실내기 대수</t>
  </si>
  <si>
    <t xml:space="preserve">대</t>
  </si>
  <si>
    <t xml:space="preserve">모델명 완전 일치</t>
  </si>
  <si>
    <r>
      <rPr>
        <sz val="10"/>
        <rFont val="Noto Sans CJK SC"/>
        <family val="2"/>
      </rPr>
      <t xml:space="preserve">모델명 표기차이 </t>
    </r>
    <r>
      <rPr>
        <sz val="10"/>
        <rFont val="Malgun Gothic"/>
        <family val="0"/>
        <charset val="1"/>
      </rPr>
      <t xml:space="preserve">(R-W ↔ RNW)</t>
    </r>
  </si>
  <si>
    <t xml:space="preserve">선정표에 없는 모델</t>
  </si>
  <si>
    <t xml:space="preserve">냉방능력 불일치</t>
  </si>
  <si>
    <t xml:space="preserve">건</t>
  </si>
  <si>
    <t xml:space="preserve">난방능력 불일치</t>
  </si>
  <si>
    <r>
      <rPr>
        <sz val="10"/>
        <rFont val="Noto Sans CJK SC"/>
        <family val="2"/>
      </rPr>
      <t xml:space="preserve">종합판정 일치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모델명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용량 모두 일치</t>
    </r>
    <r>
      <rPr>
        <sz val="10"/>
        <rFont val="Malgun Gothic"/>
        <family val="0"/>
        <charset val="1"/>
      </rPr>
      <t xml:space="preserve">)</t>
    </r>
  </si>
  <si>
    <t xml:space="preserve">종합판정 용량 불일치</t>
  </si>
  <si>
    <t xml:space="preserve">선정표 실내기 중 도면에 없는 모델</t>
  </si>
  <si>
    <t xml:space="preserve">개</t>
  </si>
  <si>
    <r>
      <rPr>
        <b val="true"/>
        <sz val="11"/>
        <color rgb="FF1F4E79"/>
        <rFont val="Malgun Gothic"/>
        <family val="0"/>
        <charset val="1"/>
      </rPr>
      <t xml:space="preserve">2. </t>
    </r>
    <r>
      <rPr>
        <b val="true"/>
        <sz val="11"/>
        <color rgb="FF1F4E79"/>
        <rFont val="Noto Sans CJK SC"/>
        <family val="2"/>
      </rPr>
      <t xml:space="preserve">공통으로 공유하는 부분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</si>
  <si>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비교 가능한 공통 항목은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모델명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정격 냉방능력</t>
    </r>
    <r>
      <rPr>
        <sz val="10"/>
        <rFont val="Malgun Gothic"/>
        <family val="0"/>
        <charset val="1"/>
      </rPr>
      <t xml:space="preserve">(W), </t>
    </r>
    <r>
      <rPr>
        <sz val="10"/>
        <rFont val="Noto Sans CJK SC"/>
        <family val="2"/>
      </rPr>
      <t xml:space="preserve">정격 난방능력</t>
    </r>
    <r>
      <rPr>
        <sz val="10"/>
        <rFont val="Malgun Gothic"/>
        <family val="0"/>
        <charset val="1"/>
      </rPr>
      <t xml:space="preserve">(W)  →  </t>
    </r>
    <r>
      <rPr>
        <sz val="10"/>
        <rFont val="Noto Sans CJK SC"/>
        <family val="2"/>
      </rPr>
      <t xml:space="preserve">상세는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항목</t>
    </r>
    <r>
      <rPr>
        <sz val="10"/>
        <rFont val="Malgun Gothic"/>
        <family val="0"/>
        <charset val="1"/>
      </rPr>
      <t xml:space="preserve">_</t>
    </r>
    <r>
      <rPr>
        <sz val="10"/>
        <rFont val="Noto Sans CJK SC"/>
        <family val="2"/>
      </rPr>
      <t xml:space="preserve">비교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</si>
  <si>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도면 실내기 </t>
    </r>
    <r>
      <rPr>
        <sz val="10"/>
        <rFont val="Malgun Gothic"/>
        <family val="0"/>
        <charset val="1"/>
      </rPr>
      <t xml:space="preserve">50</t>
    </r>
    <r>
      <rPr>
        <sz val="10"/>
        <rFont val="Noto Sans CJK SC"/>
        <family val="2"/>
      </rPr>
      <t xml:space="preserve">대 전 모델이 선정표 실내기 목록에 존재 </t>
    </r>
    <r>
      <rPr>
        <sz val="10"/>
        <rFont val="Malgun Gothic"/>
        <family val="0"/>
        <charset val="1"/>
      </rPr>
      <t xml:space="preserve">(R-W/RNW </t>
    </r>
    <r>
      <rPr>
        <sz val="10"/>
        <rFont val="Noto Sans CJK SC"/>
        <family val="2"/>
      </rPr>
      <t xml:space="preserve">표기차이 감안 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</si>
  <si>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벽걸이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스탠드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덕트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원형카세트 계열</t>
    </r>
    <r>
      <rPr>
        <sz val="10"/>
        <rFont val="Malgun Gothic"/>
        <family val="0"/>
        <charset val="1"/>
      </rPr>
      <t xml:space="preserve">(RNW </t>
    </r>
    <r>
      <rPr>
        <sz val="10"/>
        <rFont val="Noto Sans CJK SC"/>
        <family val="2"/>
      </rPr>
      <t xml:space="preserve">표기 </t>
    </r>
    <r>
      <rPr>
        <sz val="10"/>
        <rFont val="Malgun Gothic"/>
        <family val="0"/>
        <charset val="1"/>
      </rPr>
      <t xml:space="preserve">27</t>
    </r>
    <r>
      <rPr>
        <sz val="10"/>
        <rFont val="Noto Sans CJK SC"/>
        <family val="2"/>
      </rPr>
      <t xml:space="preserve">대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은 모델명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용량 대부분 일치</t>
    </r>
  </si>
  <si>
    <r>
      <rPr>
        <b val="true"/>
        <sz val="11"/>
        <color rgb="FF1F4E79"/>
        <rFont val="Malgun Gothic"/>
        <family val="0"/>
        <charset val="1"/>
      </rPr>
      <t xml:space="preserve">3. </t>
    </r>
    <r>
      <rPr>
        <b val="true"/>
        <sz val="11"/>
        <color rgb="FF1F4E79"/>
        <rFont val="Noto Sans CJK SC"/>
        <family val="2"/>
      </rPr>
      <t xml:space="preserve">주요 미스매칭 </t>
    </r>
    <r>
      <rPr>
        <b val="true"/>
        <sz val="11"/>
        <color rgb="FF1F4E79"/>
        <rFont val="Malgun Gothic"/>
        <family val="0"/>
        <charset val="1"/>
      </rPr>
      <t xml:space="preserve">(</t>
    </r>
    <r>
      <rPr>
        <b val="true"/>
        <sz val="11"/>
        <color rgb="FF1F4E79"/>
        <rFont val="Noto Sans CJK SC"/>
        <family val="2"/>
      </rPr>
      <t xml:space="preserve">요주의</t>
    </r>
    <r>
      <rPr>
        <b val="true"/>
        <sz val="11"/>
        <color rgb="FF1F4E79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</si>
  <si>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① IAC-20C : </t>
    </r>
    <r>
      <rPr>
        <sz val="10"/>
        <rFont val="Noto Sans CJK SC"/>
        <family val="2"/>
      </rPr>
      <t xml:space="preserve">도면 난방 </t>
    </r>
    <r>
      <rPr>
        <sz val="10"/>
        <rFont val="Malgun Gothic"/>
        <family val="0"/>
        <charset val="1"/>
      </rPr>
      <t xml:space="preserve">3,200W ↔ </t>
    </r>
    <r>
      <rPr>
        <sz val="10"/>
        <rFont val="Noto Sans CJK SC"/>
        <family val="2"/>
      </rPr>
      <t xml:space="preserve">선정표 </t>
    </r>
    <r>
      <rPr>
        <sz val="10"/>
        <rFont val="Malgun Gothic"/>
        <family val="0"/>
        <charset val="1"/>
      </rPr>
      <t xml:space="preserve">2,200W (RNW0200C2S) ★</t>
    </r>
  </si>
  <si>
    <r>
      <rPr>
        <sz val="10"/>
        <rFont val="Malgun Gothic"/>
        <family val="0"/>
        <charset val="1"/>
      </rPr>
      <t xml:space="preserve">② IAC-32C : </t>
    </r>
    <r>
      <rPr>
        <sz val="10"/>
        <rFont val="Noto Sans CJK SC"/>
        <family val="2"/>
      </rPr>
      <t xml:space="preserve">도면 냉방 </t>
    </r>
    <r>
      <rPr>
        <sz val="10"/>
        <rFont val="Malgun Gothic"/>
        <family val="0"/>
        <charset val="1"/>
      </rPr>
      <t xml:space="preserve">3,300W ↔ </t>
    </r>
    <r>
      <rPr>
        <sz val="10"/>
        <rFont val="Noto Sans CJK SC"/>
        <family val="2"/>
      </rPr>
      <t xml:space="preserve">선정표 </t>
    </r>
    <r>
      <rPr>
        <sz val="10"/>
        <rFont val="Malgun Gothic"/>
        <family val="0"/>
        <charset val="1"/>
      </rPr>
      <t xml:space="preserve">3,200W (RNW0320C2S) ★</t>
    </r>
  </si>
  <si>
    <r>
      <rPr>
        <sz val="10"/>
        <rFont val="Malgun Gothic"/>
        <family val="0"/>
        <charset val="1"/>
      </rPr>
      <t xml:space="preserve">③ IAC-52C : </t>
    </r>
    <r>
      <rPr>
        <sz val="10"/>
        <rFont val="Noto Sans CJK SC"/>
        <family val="2"/>
      </rPr>
      <t xml:space="preserve">도면 난방 </t>
    </r>
    <r>
      <rPr>
        <sz val="10"/>
        <rFont val="Malgun Gothic"/>
        <family val="0"/>
        <charset val="1"/>
      </rPr>
      <t xml:space="preserve">5,800W ↔ </t>
    </r>
    <r>
      <rPr>
        <sz val="10"/>
        <rFont val="Noto Sans CJK SC"/>
        <family val="2"/>
      </rPr>
      <t xml:space="preserve">선정표 </t>
    </r>
    <r>
      <rPr>
        <sz val="10"/>
        <rFont val="Malgun Gothic"/>
        <family val="0"/>
        <charset val="1"/>
      </rPr>
      <t xml:space="preserve">5,900W (RNW0520C2S) ★</t>
    </r>
  </si>
  <si>
    <r>
      <rPr>
        <sz val="10"/>
        <rFont val="Malgun Gothic"/>
        <family val="0"/>
        <charset val="1"/>
      </rPr>
      <t xml:space="preserve">④ IAC-60G : </t>
    </r>
    <r>
      <rPr>
        <sz val="10"/>
        <rFont val="Noto Sans CJK SC"/>
        <family val="2"/>
      </rPr>
      <t xml:space="preserve">도면 냉방 </t>
    </r>
    <r>
      <rPr>
        <sz val="10"/>
        <rFont val="Malgun Gothic"/>
        <family val="0"/>
        <charset val="1"/>
      </rPr>
      <t xml:space="preserve">4,000W ↔ </t>
    </r>
    <r>
      <rPr>
        <sz val="10"/>
        <rFont val="Noto Sans CJK SC"/>
        <family val="2"/>
      </rPr>
      <t xml:space="preserve">선정표 </t>
    </r>
    <r>
      <rPr>
        <sz val="10"/>
        <rFont val="Malgun Gothic"/>
        <family val="0"/>
        <charset val="1"/>
      </rPr>
      <t xml:space="preserve">6,000W (RNW0601G2S) ★</t>
    </r>
  </si>
  <si>
    <r>
      <rPr>
        <sz val="10"/>
        <rFont val="Malgun Gothic"/>
        <family val="0"/>
        <charset val="1"/>
      </rPr>
      <t xml:space="preserve">⑤ IAC-52M : </t>
    </r>
    <r>
      <rPr>
        <sz val="10"/>
        <rFont val="Noto Sans CJK SC"/>
        <family val="2"/>
      </rPr>
      <t xml:space="preserve">도면 냉방 </t>
    </r>
    <r>
      <rPr>
        <sz val="10"/>
        <rFont val="Malgun Gothic"/>
        <family val="0"/>
        <charset val="1"/>
      </rPr>
      <t xml:space="preserve">4,500/</t>
    </r>
    <r>
      <rPr>
        <sz val="10"/>
        <rFont val="Noto Sans CJK SC"/>
        <family val="2"/>
      </rPr>
      <t xml:space="preserve">난방 </t>
    </r>
    <r>
      <rPr>
        <sz val="10"/>
        <rFont val="Malgun Gothic"/>
        <family val="0"/>
        <charset val="1"/>
      </rPr>
      <t xml:space="preserve">5,500W ↔ </t>
    </r>
    <r>
      <rPr>
        <sz val="10"/>
        <rFont val="Noto Sans CJK SC"/>
        <family val="2"/>
      </rPr>
      <t xml:space="preserve">선정표 </t>
    </r>
    <r>
      <rPr>
        <sz val="10"/>
        <rFont val="Malgun Gothic"/>
        <family val="0"/>
        <charset val="1"/>
      </rPr>
      <t xml:space="preserve">5,200/5,900W (RNW0520M2S) ★</t>
    </r>
  </si>
  <si>
    <r>
      <rPr>
        <sz val="10"/>
        <rFont val="Malgun Gothic"/>
        <family val="0"/>
        <charset val="1"/>
      </rPr>
      <t xml:space="preserve">⑥ IAC-60B : </t>
    </r>
    <r>
      <rPr>
        <sz val="10"/>
        <rFont val="Noto Sans CJK SC"/>
        <family val="2"/>
      </rPr>
      <t xml:space="preserve">도면 난방 </t>
    </r>
    <r>
      <rPr>
        <sz val="10"/>
        <rFont val="Malgun Gothic"/>
        <family val="0"/>
        <charset val="1"/>
      </rPr>
      <t xml:space="preserve">6,600W ↔ </t>
    </r>
    <r>
      <rPr>
        <sz val="10"/>
        <rFont val="Noto Sans CJK SC"/>
        <family val="2"/>
      </rPr>
      <t xml:space="preserve">선정표 </t>
    </r>
    <r>
      <rPr>
        <sz val="10"/>
        <rFont val="Malgun Gothic"/>
        <family val="0"/>
        <charset val="1"/>
      </rPr>
      <t xml:space="preserve">6,800W (RNW0601B2S) ★</t>
    </r>
  </si>
  <si>
    <r>
      <rPr>
        <sz val="10"/>
        <rFont val="Noto Sans CJK SC"/>
        <family val="2"/>
      </rPr>
      <t xml:space="preserve">⑦ 모델명 표기</t>
    </r>
    <r>
      <rPr>
        <sz val="10"/>
        <rFont val="Malgun Gothic"/>
        <family val="0"/>
        <charset val="1"/>
      </rPr>
      <t xml:space="preserve">: 1WAY·2WAY·4WAY </t>
    </r>
    <r>
      <rPr>
        <sz val="10"/>
        <rFont val="Noto Sans CJK SC"/>
        <family val="2"/>
      </rPr>
      <t xml:space="preserve">카세트 </t>
    </r>
    <r>
      <rPr>
        <sz val="10"/>
        <rFont val="Malgun Gothic"/>
        <family val="0"/>
        <charset val="1"/>
      </rPr>
      <t xml:space="preserve">23</t>
    </r>
    <r>
      <rPr>
        <sz val="10"/>
        <rFont val="Noto Sans CJK SC"/>
        <family val="2"/>
      </rPr>
      <t xml:space="preserve">대가 도면에서 </t>
    </r>
    <r>
      <rPr>
        <sz val="10"/>
        <rFont val="Malgun Gothic"/>
        <family val="0"/>
        <charset val="1"/>
      </rPr>
      <t xml:space="preserve">'R-W', </t>
    </r>
    <r>
      <rPr>
        <sz val="10"/>
        <rFont val="Noto Sans CJK SC"/>
        <family val="2"/>
      </rPr>
      <t xml:space="preserve">선정표는 </t>
    </r>
    <r>
      <rPr>
        <sz val="10"/>
        <rFont val="Malgun Gothic"/>
        <family val="0"/>
        <charset val="1"/>
      </rPr>
      <t xml:space="preserve">'RNW' </t>
    </r>
    <r>
      <rPr>
        <sz val="10"/>
        <rFont val="Noto Sans CJK SC"/>
        <family val="2"/>
      </rPr>
      <t xml:space="preserve">표기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동일 모델로 추정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</si>
  <si>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⑧ IAC-88T : </t>
    </r>
    <r>
      <rPr>
        <sz val="10"/>
        <rFont val="Noto Sans CJK SC"/>
        <family val="2"/>
      </rPr>
      <t xml:space="preserve">장비번호 체계 확인 필요 </t>
    </r>
    <r>
      <rPr>
        <sz val="10"/>
        <rFont val="Malgun Gothic"/>
        <family val="0"/>
        <charset val="1"/>
      </rPr>
      <t xml:space="preserve">(R-W0831A2U 8.3kW → </t>
    </r>
    <r>
      <rPr>
        <sz val="10"/>
        <rFont val="Noto Sans CJK SC"/>
        <family val="2"/>
      </rPr>
      <t xml:space="preserve">통상 </t>
    </r>
    <r>
      <rPr>
        <sz val="10"/>
        <rFont val="Malgun Gothic"/>
        <family val="0"/>
        <charset val="1"/>
      </rPr>
      <t xml:space="preserve">IAC-83T)</t>
    </r>
  </si>
  <si>
    <r>
      <rPr>
        <b val="true"/>
        <sz val="13"/>
        <rFont val="Noto Sans CJK SC"/>
        <family val="2"/>
      </rPr>
      <t xml:space="preserve">장비일람표</t>
    </r>
    <r>
      <rPr>
        <b val="true"/>
        <sz val="13"/>
        <rFont val="Malgun Gothic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도면 이미지</t>
    </r>
    <r>
      <rPr>
        <b val="true"/>
        <sz val="13"/>
        <rFont val="Malgun Gothic"/>
        <family val="0"/>
        <charset val="1"/>
      </rPr>
      <t xml:space="preserve">) × </t>
    </r>
    <r>
      <rPr>
        <b val="true"/>
        <sz val="13"/>
        <rFont val="Noto Sans CJK SC"/>
        <family val="2"/>
      </rPr>
      <t xml:space="preserve">장비선정표 모델별 비교</t>
    </r>
  </si>
  <si>
    <r>
      <rPr>
        <sz val="9"/>
        <color rgb="FF808080"/>
        <rFont val="Noto Sans CJK SC"/>
        <family val="2"/>
      </rPr>
      <t xml:space="preserve">도면 값</t>
    </r>
    <r>
      <rPr>
        <sz val="9"/>
        <color rgb="FF808080"/>
        <rFont val="Malgun Gothic"/>
        <family val="0"/>
        <charset val="1"/>
      </rPr>
      <t xml:space="preserve">: </t>
    </r>
    <r>
      <rPr>
        <sz val="9"/>
        <color rgb="FF808080"/>
        <rFont val="Noto Sans CJK SC"/>
        <family val="2"/>
      </rPr>
      <t xml:space="preserve">업로드 이미지 </t>
    </r>
    <r>
      <rPr>
        <sz val="9"/>
        <color rgb="FF808080"/>
        <rFont val="Malgun Gothic"/>
        <family val="0"/>
        <charset val="1"/>
      </rPr>
      <t xml:space="preserve">'LG </t>
    </r>
    <r>
      <rPr>
        <sz val="9"/>
        <color rgb="FF808080"/>
        <rFont val="Noto Sans CJK SC"/>
        <family val="2"/>
      </rPr>
      <t xml:space="preserve">시스템에어컨 실내기</t>
    </r>
    <r>
      <rPr>
        <sz val="9"/>
        <color rgb="FF808080"/>
        <rFont val="Malgun Gothic"/>
        <family val="0"/>
        <charset val="1"/>
      </rPr>
      <t xml:space="preserve">' </t>
    </r>
    <r>
      <rPr>
        <sz val="9"/>
        <color rgb="FF808080"/>
        <rFont val="Noto Sans CJK SC"/>
        <family val="2"/>
      </rPr>
      <t xml:space="preserve">판독 </t>
    </r>
    <r>
      <rPr>
        <sz val="9"/>
        <color rgb="FF808080"/>
        <rFont val="Malgun Gothic"/>
        <family val="0"/>
        <charset val="1"/>
      </rPr>
      <t xml:space="preserve">/ </t>
    </r>
    <r>
      <rPr>
        <sz val="9"/>
        <color rgb="FF808080"/>
        <rFont val="Noto Sans CJK SC"/>
        <family val="2"/>
      </rPr>
      <t xml:space="preserve">선정표 값</t>
    </r>
    <r>
      <rPr>
        <sz val="9"/>
        <color rgb="FF808080"/>
        <rFont val="Malgun Gothic"/>
        <family val="0"/>
        <charset val="1"/>
      </rPr>
      <t xml:space="preserve">: </t>
    </r>
    <r>
      <rPr>
        <sz val="9"/>
        <color rgb="FF808080"/>
        <rFont val="Noto Sans CJK SC"/>
        <family val="2"/>
      </rPr>
      <t xml:space="preserve">표준 </t>
    </r>
    <r>
      <rPr>
        <sz val="9"/>
        <color rgb="FF808080"/>
        <rFont val="Malgun Gothic"/>
        <family val="0"/>
        <charset val="1"/>
      </rPr>
      <t xml:space="preserve">260415 </t>
    </r>
    <r>
      <rPr>
        <sz val="9"/>
        <color rgb="FF808080"/>
        <rFont val="Noto Sans CJK SC"/>
        <family val="2"/>
      </rPr>
      <t xml:space="preserve">장비선정표 모음</t>
    </r>
    <r>
      <rPr>
        <sz val="9"/>
        <color rgb="FF808080"/>
        <rFont val="Malgun Gothic"/>
        <family val="0"/>
        <charset val="1"/>
      </rPr>
      <t xml:space="preserve">_</t>
    </r>
    <r>
      <rPr>
        <sz val="9"/>
        <color rgb="FF808080"/>
        <rFont val="Noto Sans CJK SC"/>
        <family val="2"/>
      </rPr>
      <t xml:space="preserve">민수</t>
    </r>
    <r>
      <rPr>
        <sz val="9"/>
        <color rgb="FF808080"/>
        <rFont val="Malgun Gothic"/>
        <family val="0"/>
        <charset val="1"/>
      </rPr>
      <t xml:space="preserve">.xlsx &gt; LG</t>
    </r>
    <r>
      <rPr>
        <sz val="9"/>
        <color rgb="FF808080"/>
        <rFont val="Noto Sans CJK SC"/>
        <family val="2"/>
      </rPr>
      <t xml:space="preserve">제품 시트</t>
    </r>
  </si>
  <si>
    <t xml:space="preserve">No</t>
  </si>
  <si>
    <t xml:space="preserve">장비번호</t>
  </si>
  <si>
    <t xml:space="preserve">분류</t>
  </si>
  <si>
    <t xml:space="preserve">도면 모델명</t>
  </si>
  <si>
    <t xml:space="preserve">선정표 매칭 모델명</t>
  </si>
  <si>
    <t xml:space="preserve">모델명 판정</t>
  </si>
  <si>
    <r>
      <rPr>
        <b val="true"/>
        <sz val="10"/>
        <color rgb="FFFFFFFF"/>
        <rFont val="Noto Sans CJK SC"/>
        <family val="2"/>
      </rPr>
      <t xml:space="preserve">도면 냉방</t>
    </r>
    <r>
      <rPr>
        <b val="true"/>
        <sz val="10"/>
        <color rgb="FFFFFFFF"/>
        <rFont val="Malgun Gothic"/>
        <family val="0"/>
        <charset val="1"/>
      </rPr>
      <t xml:space="preserve">(W)</t>
    </r>
  </si>
  <si>
    <r>
      <rPr>
        <b val="true"/>
        <sz val="10"/>
        <color rgb="FFFFFFFF"/>
        <rFont val="Noto Sans CJK SC"/>
        <family val="2"/>
      </rPr>
      <t xml:space="preserve">선정표 냉방</t>
    </r>
    <r>
      <rPr>
        <b val="true"/>
        <sz val="10"/>
        <color rgb="FFFFFFFF"/>
        <rFont val="Malgun Gothic"/>
        <family val="0"/>
        <charset val="1"/>
      </rPr>
      <t xml:space="preserve">(W)</t>
    </r>
  </si>
  <si>
    <t xml:space="preserve">냉방 판정</t>
  </si>
  <si>
    <r>
      <rPr>
        <b val="true"/>
        <sz val="10"/>
        <color rgb="FFFFFFFF"/>
        <rFont val="Noto Sans CJK SC"/>
        <family val="2"/>
      </rPr>
      <t xml:space="preserve">도면 난방</t>
    </r>
    <r>
      <rPr>
        <b val="true"/>
        <sz val="10"/>
        <color rgb="FFFFFFFF"/>
        <rFont val="Malgun Gothic"/>
        <family val="0"/>
        <charset val="1"/>
      </rPr>
      <t xml:space="preserve">(W)</t>
    </r>
  </si>
  <si>
    <r>
      <rPr>
        <b val="true"/>
        <sz val="10"/>
        <color rgb="FFFFFFFF"/>
        <rFont val="Noto Sans CJK SC"/>
        <family val="2"/>
      </rPr>
      <t xml:space="preserve">선정표 난방</t>
    </r>
    <r>
      <rPr>
        <b val="true"/>
        <sz val="10"/>
        <color rgb="FFFFFFFF"/>
        <rFont val="Malgun Gothic"/>
        <family val="0"/>
        <charset val="1"/>
      </rPr>
      <t xml:space="preserve">(W)</t>
    </r>
  </si>
  <si>
    <t xml:space="preserve">난방 판정</t>
  </si>
  <si>
    <t xml:space="preserve">종합 판정</t>
  </si>
  <si>
    <t xml:space="preserve">비고</t>
  </si>
  <si>
    <t xml:space="preserve">IAC-20C</t>
  </si>
  <si>
    <r>
      <rPr>
        <sz val="10"/>
        <rFont val="Malgun Gothic"/>
        <family val="0"/>
        <charset val="1"/>
      </rPr>
      <t xml:space="preserve">1WAY </t>
    </r>
    <r>
      <rPr>
        <sz val="10"/>
        <rFont val="Noto Sans CJK SC"/>
        <family val="2"/>
      </rPr>
      <t xml:space="preserve">카세트</t>
    </r>
  </si>
  <si>
    <t xml:space="preserve">R-W0200C2S</t>
  </si>
  <si>
    <r>
      <rPr>
        <sz val="10"/>
        <rFont val="Noto Sans CJK SC"/>
        <family val="2"/>
      </rPr>
      <t xml:space="preserve">★ 이미지 판독값 </t>
    </r>
    <r>
      <rPr>
        <sz val="10"/>
        <rFont val="Malgun Gothic"/>
        <family val="0"/>
        <charset val="1"/>
      </rPr>
      <t xml:space="preserve">- </t>
    </r>
    <r>
      <rPr>
        <sz val="10"/>
        <rFont val="Noto Sans CJK SC"/>
        <family val="2"/>
      </rPr>
      <t xml:space="preserve">도면 원본</t>
    </r>
    <r>
      <rPr>
        <sz val="10"/>
        <rFont val="Malgun Gothic"/>
        <family val="0"/>
        <charset val="1"/>
      </rPr>
      <t xml:space="preserve">(CAD) </t>
    </r>
    <r>
      <rPr>
        <sz val="10"/>
        <rFont val="Noto Sans CJK SC"/>
        <family val="2"/>
      </rPr>
      <t xml:space="preserve">재확인 권장</t>
    </r>
  </si>
  <si>
    <t xml:space="preserve">IAC-23C</t>
  </si>
  <si>
    <t xml:space="preserve">R-W0230C2S</t>
  </si>
  <si>
    <t xml:space="preserve">IAC-32C</t>
  </si>
  <si>
    <t xml:space="preserve">R-W0320C2S</t>
  </si>
  <si>
    <t xml:space="preserve">IAC-40C</t>
  </si>
  <si>
    <t xml:space="preserve">R-W0400C2S</t>
  </si>
  <si>
    <t xml:space="preserve">IAC-52C</t>
  </si>
  <si>
    <t xml:space="preserve">R-W0520C2S</t>
  </si>
  <si>
    <t xml:space="preserve">IAC-60C</t>
  </si>
  <si>
    <t xml:space="preserve">R-W0600C2S</t>
  </si>
  <si>
    <t xml:space="preserve">IAC-72C</t>
  </si>
  <si>
    <t xml:space="preserve">R-W0720C2S</t>
  </si>
  <si>
    <t xml:space="preserve">IAC-52G</t>
  </si>
  <si>
    <r>
      <rPr>
        <sz val="10"/>
        <rFont val="Malgun Gothic"/>
        <family val="0"/>
        <charset val="1"/>
      </rPr>
      <t xml:space="preserve">2WAY </t>
    </r>
    <r>
      <rPr>
        <sz val="10"/>
        <rFont val="Noto Sans CJK SC"/>
        <family val="2"/>
      </rPr>
      <t xml:space="preserve">카세트</t>
    </r>
  </si>
  <si>
    <t xml:space="preserve">R-W0521G2S</t>
  </si>
  <si>
    <t xml:space="preserve">IAC-60G</t>
  </si>
  <si>
    <t xml:space="preserve">R-W0601G2S</t>
  </si>
  <si>
    <t xml:space="preserve">IAC-72G</t>
  </si>
  <si>
    <t xml:space="preserve">R-W0721G2S</t>
  </si>
  <si>
    <t xml:space="preserve">IAC-23M</t>
  </si>
  <si>
    <r>
      <rPr>
        <sz val="10"/>
        <rFont val="Malgun Gothic"/>
        <family val="0"/>
        <charset val="1"/>
      </rPr>
      <t xml:space="preserve">4WAY </t>
    </r>
    <r>
      <rPr>
        <sz val="10"/>
        <rFont val="Noto Sans CJK SC"/>
        <family val="2"/>
      </rPr>
      <t xml:space="preserve">카세트 </t>
    </r>
    <r>
      <rPr>
        <sz val="10"/>
        <rFont val="Malgun Gothic"/>
        <family val="0"/>
        <charset val="1"/>
      </rPr>
      <t xml:space="preserve">Mini</t>
    </r>
  </si>
  <si>
    <t xml:space="preserve">R-W0230M2S</t>
  </si>
  <si>
    <t xml:space="preserve">IAC-32M</t>
  </si>
  <si>
    <t xml:space="preserve">R-W0320M2S</t>
  </si>
  <si>
    <t xml:space="preserve">IAC-40M</t>
  </si>
  <si>
    <t xml:space="preserve">R-W0400M2S</t>
  </si>
  <si>
    <t xml:space="preserve">IAC-52M</t>
  </si>
  <si>
    <t xml:space="preserve">R-W0520M2S</t>
  </si>
  <si>
    <t xml:space="preserve">IAC-40T</t>
  </si>
  <si>
    <r>
      <rPr>
        <sz val="10"/>
        <rFont val="Malgun Gothic"/>
        <family val="0"/>
        <charset val="1"/>
      </rPr>
      <t xml:space="preserve">4WAY </t>
    </r>
    <r>
      <rPr>
        <sz val="10"/>
        <rFont val="Noto Sans CJK SC"/>
        <family val="2"/>
      </rPr>
      <t xml:space="preserve">카세트 듀얼베인 </t>
    </r>
    <r>
      <rPr>
        <sz val="10"/>
        <rFont val="Malgun Gothic"/>
        <family val="0"/>
        <charset val="1"/>
      </rPr>
      <t xml:space="preserve">UVnano</t>
    </r>
  </si>
  <si>
    <t xml:space="preserve">R-W0401A2U</t>
  </si>
  <si>
    <t xml:space="preserve">IAC-52T</t>
  </si>
  <si>
    <t xml:space="preserve">R-W0521A2U</t>
  </si>
  <si>
    <t xml:space="preserve">IAC-60T</t>
  </si>
  <si>
    <t xml:space="preserve">R-W0601A2U</t>
  </si>
  <si>
    <t xml:space="preserve">IAC-72T</t>
  </si>
  <si>
    <t xml:space="preserve">R-W0721A2U</t>
  </si>
  <si>
    <t xml:space="preserve">IAC-88T</t>
  </si>
  <si>
    <t xml:space="preserve">R-W0831A2U</t>
  </si>
  <si>
    <r>
      <rPr>
        <sz val="10"/>
        <rFont val="Noto Sans CJK SC"/>
        <family val="2"/>
      </rPr>
      <t xml:space="preserve">장비번호 확인 필요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모델 용량 </t>
    </r>
    <r>
      <rPr>
        <sz val="10"/>
        <rFont val="Malgun Gothic"/>
        <family val="0"/>
        <charset val="1"/>
      </rPr>
      <t xml:space="preserve">8.3kW → </t>
    </r>
    <r>
      <rPr>
        <sz val="10"/>
        <rFont val="Noto Sans CJK SC"/>
        <family val="2"/>
      </rPr>
      <t xml:space="preserve">통상 </t>
    </r>
    <r>
      <rPr>
        <sz val="10"/>
        <rFont val="Malgun Gothic"/>
        <family val="0"/>
        <charset val="1"/>
      </rPr>
      <t xml:space="preserve">IAC-83T </t>
    </r>
    <r>
      <rPr>
        <sz val="10"/>
        <rFont val="Noto Sans CJK SC"/>
        <family val="2"/>
      </rPr>
      <t xml:space="preserve">기대</t>
    </r>
    <r>
      <rPr>
        <sz val="10"/>
        <rFont val="Malgun Gothic"/>
        <family val="0"/>
        <charset val="1"/>
      </rPr>
      <t xml:space="preserve">)</t>
    </r>
  </si>
  <si>
    <t xml:space="preserve">IAC-100T</t>
  </si>
  <si>
    <t xml:space="preserve">R-W1001A2U</t>
  </si>
  <si>
    <t xml:space="preserve">IAC-110T</t>
  </si>
  <si>
    <t xml:space="preserve">R-W1101A2U</t>
  </si>
  <si>
    <t xml:space="preserve">IAC-130T</t>
  </si>
  <si>
    <t xml:space="preserve">R-W1301A2U</t>
  </si>
  <si>
    <t xml:space="preserve">IAC-145T</t>
  </si>
  <si>
    <t xml:space="preserve">R-W1451A2U</t>
  </si>
  <si>
    <t xml:space="preserve">IAC-23R</t>
  </si>
  <si>
    <t xml:space="preserve">벽걸이형</t>
  </si>
  <si>
    <t xml:space="preserve">RNW0230R2S</t>
  </si>
  <si>
    <t xml:space="preserve">IAC-32R</t>
  </si>
  <si>
    <t xml:space="preserve">RNW0320R2S</t>
  </si>
  <si>
    <t xml:space="preserve">IAC-40R</t>
  </si>
  <si>
    <t xml:space="preserve">RNW0400R2S</t>
  </si>
  <si>
    <t xml:space="preserve">IAC-52R</t>
  </si>
  <si>
    <t xml:space="preserve">RNW0520R2S</t>
  </si>
  <si>
    <t xml:space="preserve">IAC-145P</t>
  </si>
  <si>
    <t xml:space="preserve">스탠드형</t>
  </si>
  <si>
    <t xml:space="preserve">RNW1450P2S</t>
  </si>
  <si>
    <t xml:space="preserve">IAC-290P</t>
  </si>
  <si>
    <t xml:space="preserve">RNW2900P2S</t>
  </si>
  <si>
    <t xml:space="preserve">IAC-52B</t>
  </si>
  <si>
    <r>
      <rPr>
        <sz val="10"/>
        <rFont val="Noto Sans CJK SC"/>
        <family val="2"/>
      </rPr>
      <t xml:space="preserve">덕트형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천장매립</t>
    </r>
    <r>
      <rPr>
        <sz val="10"/>
        <rFont val="Malgun Gothic"/>
        <family val="0"/>
        <charset val="1"/>
      </rPr>
      <t xml:space="preserve">)</t>
    </r>
  </si>
  <si>
    <t xml:space="preserve">RNW0521B2S</t>
  </si>
  <si>
    <t xml:space="preserve">IAC-60B</t>
  </si>
  <si>
    <t xml:space="preserve">RNW0601B2S</t>
  </si>
  <si>
    <t xml:space="preserve">IAC-72B</t>
  </si>
  <si>
    <t xml:space="preserve">RNW0721B2S</t>
  </si>
  <si>
    <t xml:space="preserve">IAC-83B</t>
  </si>
  <si>
    <t xml:space="preserve">RNW0831B2S</t>
  </si>
  <si>
    <t xml:space="preserve">IAC-100B</t>
  </si>
  <si>
    <t xml:space="preserve">RNW1001B2S</t>
  </si>
  <si>
    <t xml:space="preserve">IAC-110B</t>
  </si>
  <si>
    <t xml:space="preserve">RNW1101B2S</t>
  </si>
  <si>
    <t xml:space="preserve">IAC-130B</t>
  </si>
  <si>
    <t xml:space="preserve">RNW1301B2S</t>
  </si>
  <si>
    <t xml:space="preserve">IAC-145B</t>
  </si>
  <si>
    <t xml:space="preserve">RNW1451B2S</t>
  </si>
  <si>
    <t xml:space="preserve">IAC-230B</t>
  </si>
  <si>
    <r>
      <rPr>
        <sz val="10"/>
        <rFont val="Noto Sans CJK SC"/>
        <family val="2"/>
      </rPr>
      <t xml:space="preserve">덕트형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고정압</t>
    </r>
    <r>
      <rPr>
        <sz val="10"/>
        <rFont val="Malgun Gothic"/>
        <family val="0"/>
        <charset val="1"/>
      </rPr>
      <t xml:space="preserve">)</t>
    </r>
  </si>
  <si>
    <t xml:space="preserve">RNW2300B2S</t>
  </si>
  <si>
    <t xml:space="preserve">IAC-290B</t>
  </si>
  <si>
    <t xml:space="preserve">RNW2900B2S</t>
  </si>
  <si>
    <t xml:space="preserve">IAC-23L</t>
  </si>
  <si>
    <r>
      <rPr>
        <sz val="10"/>
        <rFont val="Noto Sans CJK SC"/>
        <family val="2"/>
      </rPr>
      <t xml:space="preserve">덕트형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저정압</t>
    </r>
    <r>
      <rPr>
        <sz val="10"/>
        <rFont val="Malgun Gothic"/>
        <family val="0"/>
        <charset val="1"/>
      </rPr>
      <t xml:space="preserve">)</t>
    </r>
  </si>
  <si>
    <t xml:space="preserve">RNW0230L2S</t>
  </si>
  <si>
    <t xml:space="preserve">IAC-32L</t>
  </si>
  <si>
    <t xml:space="preserve">RNW0320L2S</t>
  </si>
  <si>
    <t xml:space="preserve">IAC-40L</t>
  </si>
  <si>
    <t xml:space="preserve">RNW0400L2S</t>
  </si>
  <si>
    <t xml:space="preserve">IAC-72Y</t>
  </si>
  <si>
    <t xml:space="preserve">원형 카세트 매립형</t>
  </si>
  <si>
    <t xml:space="preserve">RNW0720S2Y</t>
  </si>
  <si>
    <t xml:space="preserve">IAC-83Y</t>
  </si>
  <si>
    <t xml:space="preserve">RNW0830S2Y</t>
  </si>
  <si>
    <t xml:space="preserve">IAC-110Y</t>
  </si>
  <si>
    <t xml:space="preserve">RNW1100S2Y</t>
  </si>
  <si>
    <t xml:space="preserve">IAC-145Y</t>
  </si>
  <si>
    <t xml:space="preserve">RNW1450S2Y</t>
  </si>
  <si>
    <t xml:space="preserve">IAC-72S</t>
  </si>
  <si>
    <t xml:space="preserve">원형 카세트 노출형</t>
  </si>
  <si>
    <t xml:space="preserve">RNW0720S2S</t>
  </si>
  <si>
    <t xml:space="preserve">IAC-83S</t>
  </si>
  <si>
    <t xml:space="preserve">RNW0830S2S</t>
  </si>
  <si>
    <t xml:space="preserve">IAC-110S</t>
  </si>
  <si>
    <t xml:space="preserve">RNW1100S2S</t>
  </si>
  <si>
    <t xml:space="preserve">IAC-145S</t>
  </si>
  <si>
    <t xml:space="preserve">RNW1450S2S</t>
  </si>
  <si>
    <r>
      <rPr>
        <b val="true"/>
        <sz val="12"/>
        <rFont val="Noto Sans CJK SC"/>
        <family val="2"/>
      </rPr>
      <t xml:space="preserve">장비선정표 실내기 모델 목록 </t>
    </r>
    <r>
      <rPr>
        <b val="true"/>
        <sz val="12"/>
        <rFont val="Malgun Gothic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표준 </t>
    </r>
    <r>
      <rPr>
        <b val="true"/>
        <sz val="12"/>
        <rFont val="Malgun Gothic"/>
        <family val="0"/>
        <charset val="1"/>
      </rPr>
      <t xml:space="preserve">260415 </t>
    </r>
    <r>
      <rPr>
        <b val="true"/>
        <sz val="12"/>
        <rFont val="Noto Sans CJK SC"/>
        <family val="2"/>
      </rPr>
      <t xml:space="preserve">장비선정표 모음</t>
    </r>
    <r>
      <rPr>
        <b val="true"/>
        <sz val="12"/>
        <rFont val="Malgun Gothic"/>
        <family val="0"/>
        <charset val="1"/>
      </rPr>
      <t xml:space="preserve">_</t>
    </r>
    <r>
      <rPr>
        <b val="true"/>
        <sz val="12"/>
        <rFont val="Noto Sans CJK SC"/>
        <family val="2"/>
      </rPr>
      <t xml:space="preserve">민수</t>
    </r>
    <r>
      <rPr>
        <b val="true"/>
        <sz val="12"/>
        <rFont val="Malgun Gothic"/>
        <family val="0"/>
        <charset val="1"/>
      </rPr>
      <t xml:space="preserve">.xlsx &gt; LG</t>
    </r>
    <r>
      <rPr>
        <b val="true"/>
        <sz val="12"/>
        <rFont val="Noto Sans CJK SC"/>
        <family val="2"/>
      </rPr>
      <t xml:space="preserve">제품 시트</t>
    </r>
    <r>
      <rPr>
        <b val="true"/>
        <sz val="12"/>
        <rFont val="Malgun Gothic"/>
        <family val="0"/>
        <charset val="1"/>
      </rPr>
      <t xml:space="preserve">)</t>
    </r>
  </si>
  <si>
    <t xml:space="preserve">모델명</t>
  </si>
  <si>
    <r>
      <rPr>
        <b val="true"/>
        <sz val="10"/>
        <color rgb="FFFFFFFF"/>
        <rFont val="Noto Sans CJK SC"/>
        <family val="2"/>
      </rPr>
      <t xml:space="preserve">냉방</t>
    </r>
    <r>
      <rPr>
        <b val="true"/>
        <sz val="10"/>
        <color rgb="FFFFFFFF"/>
        <rFont val="Malgun Gothic"/>
        <family val="0"/>
        <charset val="1"/>
      </rPr>
      <t xml:space="preserve">(W)</t>
    </r>
  </si>
  <si>
    <r>
      <rPr>
        <b val="true"/>
        <sz val="10"/>
        <color rgb="FFFFFFFF"/>
        <rFont val="Noto Sans CJK SC"/>
        <family val="2"/>
      </rPr>
      <t xml:space="preserve">난방</t>
    </r>
    <r>
      <rPr>
        <b val="true"/>
        <sz val="10"/>
        <color rgb="FFFFFFFF"/>
        <rFont val="Malgun Gothic"/>
        <family val="0"/>
        <charset val="1"/>
      </rPr>
      <t xml:space="preserve">(W)</t>
    </r>
  </si>
  <si>
    <r>
      <rPr>
        <b val="true"/>
        <sz val="10"/>
        <color rgb="FFFFFFFF"/>
        <rFont val="Noto Sans CJK SC"/>
        <family val="2"/>
      </rPr>
      <t xml:space="preserve">계열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모델 접미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</si>
  <si>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도면 기재 여부</t>
  </si>
  <si>
    <t xml:space="preserve">RNW0200C2S</t>
  </si>
  <si>
    <t xml:space="preserve">RNW0230C2S</t>
  </si>
  <si>
    <t xml:space="preserve">RNW0320C2S</t>
  </si>
  <si>
    <t xml:space="preserve">RNW0400C2S</t>
  </si>
  <si>
    <t xml:space="preserve">RNW0520C2S</t>
  </si>
  <si>
    <t xml:space="preserve">RNW0600C2S</t>
  </si>
  <si>
    <t xml:space="preserve">RNW0720C2S</t>
  </si>
  <si>
    <t xml:space="preserve">RNW0201C2S</t>
  </si>
  <si>
    <t xml:space="preserve">RNW0231C2S</t>
  </si>
  <si>
    <t xml:space="preserve">RNW0321C2S</t>
  </si>
  <si>
    <t xml:space="preserve">RNW0401C2S</t>
  </si>
  <si>
    <t xml:space="preserve">RNW0521C2S</t>
  </si>
  <si>
    <t xml:space="preserve">RNW0601C2S</t>
  </si>
  <si>
    <t xml:space="preserve">RNW0721C2S</t>
  </si>
  <si>
    <t xml:space="preserve">RNW0521G2S</t>
  </si>
  <si>
    <t xml:space="preserve">RNW0601G2S</t>
  </si>
  <si>
    <t xml:space="preserve">RNW0721G2S</t>
  </si>
  <si>
    <t xml:space="preserve">RNW0230M2S</t>
  </si>
  <si>
    <t xml:space="preserve">RNW0320M2S</t>
  </si>
  <si>
    <t xml:space="preserve">RNW0400M2S</t>
  </si>
  <si>
    <t xml:space="preserve">RNW0520M2S</t>
  </si>
  <si>
    <t xml:space="preserve">RNW0401A2U</t>
  </si>
  <si>
    <r>
      <rPr>
        <sz val="10"/>
        <rFont val="Malgun Gothic"/>
        <family val="0"/>
        <charset val="1"/>
      </rPr>
      <t xml:space="preserve">4WAY </t>
    </r>
    <r>
      <rPr>
        <sz val="10"/>
        <rFont val="Noto Sans CJK SC"/>
        <family val="2"/>
      </rPr>
      <t xml:space="preserve">카세트 듀얼베인</t>
    </r>
  </si>
  <si>
    <t xml:space="preserve">RNW0521A2U</t>
  </si>
  <si>
    <t xml:space="preserve">RNW0601A2U</t>
  </si>
  <si>
    <t xml:space="preserve">RNW0721A2U</t>
  </si>
  <si>
    <t xml:space="preserve">RNW0831A2U</t>
  </si>
  <si>
    <t xml:space="preserve">RNW1001A2U</t>
  </si>
  <si>
    <t xml:space="preserve">RNW1101A2U</t>
  </si>
  <si>
    <t xml:space="preserve">RNW1301A2U</t>
  </si>
  <si>
    <t xml:space="preserve">RNW1451A2U</t>
  </si>
  <si>
    <r>
      <rPr>
        <sz val="10"/>
        <rFont val="Noto Sans CJK SC"/>
        <family val="2"/>
      </rPr>
      <t xml:space="preserve">덕트형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매립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고정압</t>
    </r>
    <r>
      <rPr>
        <sz val="10"/>
        <rFont val="Malgun Gothic"/>
        <family val="0"/>
        <charset val="1"/>
      </rPr>
      <t xml:space="preserve">)</t>
    </r>
  </si>
  <si>
    <t xml:space="preserve">RNW0230U2S</t>
  </si>
  <si>
    <r>
      <rPr>
        <sz val="10"/>
        <rFont val="Malgun Gothic"/>
        <family val="0"/>
        <charset val="1"/>
      </rPr>
      <t xml:space="preserve">4WAY </t>
    </r>
    <r>
      <rPr>
        <sz val="10"/>
        <rFont val="Noto Sans CJK SC"/>
        <family val="2"/>
      </rPr>
      <t xml:space="preserve">카세트</t>
    </r>
    <r>
      <rPr>
        <sz val="10"/>
        <rFont val="Malgun Gothic"/>
        <family val="0"/>
        <charset val="1"/>
      </rPr>
      <t xml:space="preserve">(U2S)</t>
    </r>
  </si>
  <si>
    <t xml:space="preserve">RNW0320U2S</t>
  </si>
  <si>
    <t xml:space="preserve">RNW0400U2S</t>
  </si>
  <si>
    <t xml:space="preserve">RNW0520U2S</t>
  </si>
  <si>
    <t xml:space="preserve">RNW0600U2S</t>
  </si>
  <si>
    <t xml:space="preserve">RNW0720U2S</t>
  </si>
  <si>
    <t xml:space="preserve">RNW0230H2S</t>
  </si>
  <si>
    <r>
      <rPr>
        <sz val="10"/>
        <rFont val="Malgun Gothic"/>
        <family val="0"/>
        <charset val="1"/>
      </rPr>
      <t xml:space="preserve">4WAY </t>
    </r>
    <r>
      <rPr>
        <sz val="10"/>
        <rFont val="Noto Sans CJK SC"/>
        <family val="2"/>
      </rPr>
      <t xml:space="preserve">카세트</t>
    </r>
    <r>
      <rPr>
        <sz val="10"/>
        <rFont val="Malgun Gothic"/>
        <family val="0"/>
        <charset val="1"/>
      </rPr>
      <t xml:space="preserve">(H2S)</t>
    </r>
  </si>
  <si>
    <t xml:space="preserve">RNW0320H2S</t>
  </si>
  <si>
    <t xml:space="preserve">RNW0400H2S</t>
  </si>
  <si>
    <t xml:space="preserve">RNW0520H2S</t>
  </si>
  <si>
    <t xml:space="preserve">RNW0600H2S</t>
  </si>
  <si>
    <t xml:space="preserve">RNW0720H2S</t>
  </si>
  <si>
    <t xml:space="preserve">RNW0720V2S</t>
  </si>
  <si>
    <r>
      <rPr>
        <sz val="10"/>
        <rFont val="Noto Sans CJK SC"/>
        <family val="2"/>
      </rPr>
      <t xml:space="preserve">천장형</t>
    </r>
    <r>
      <rPr>
        <sz val="10"/>
        <rFont val="Malgun Gothic"/>
        <family val="0"/>
        <charset val="1"/>
      </rPr>
      <t xml:space="preserve">(V2S)</t>
    </r>
  </si>
  <si>
    <t xml:space="preserve">RNW1450V2S</t>
  </si>
  <si>
    <r>
      <rPr>
        <b val="true"/>
        <sz val="12"/>
        <rFont val="Noto Sans CJK SC"/>
        <family val="2"/>
      </rPr>
      <t xml:space="preserve">항목</t>
    </r>
    <r>
      <rPr>
        <b val="true"/>
        <sz val="12"/>
        <rFont val="Malgun Gothic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컬럼</t>
    </r>
    <r>
      <rPr>
        <b val="true"/>
        <sz val="12"/>
        <rFont val="Malgun Gothic"/>
        <family val="0"/>
        <charset val="1"/>
      </rPr>
      <t xml:space="preserve">) </t>
    </r>
    <r>
      <rPr>
        <b val="true"/>
        <sz val="12"/>
        <rFont val="Noto Sans CJK SC"/>
        <family val="2"/>
      </rPr>
      <t xml:space="preserve">단위 비교 — 무엇이 공통이고 무엇이 한쪽에만 있는가</t>
    </r>
  </si>
  <si>
    <t xml:space="preserve">항목</t>
  </si>
  <si>
    <t xml:space="preserve">도면 장비일람표</t>
  </si>
  <si>
    <t xml:space="preserve">장비선정표</t>
  </si>
  <si>
    <t xml:space="preserve">구분</t>
  </si>
  <si>
    <t xml:space="preserve">O</t>
  </si>
  <si>
    <t xml:space="preserve">공통</t>
  </si>
  <si>
    <r>
      <rPr>
        <sz val="10"/>
        <rFont val="Noto Sans CJK SC"/>
        <family val="2"/>
      </rPr>
      <t xml:space="preserve">비교 키 항목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도면은 일부 </t>
    </r>
    <r>
      <rPr>
        <sz val="10"/>
        <rFont val="Malgun Gothic"/>
        <family val="0"/>
        <charset val="1"/>
      </rPr>
      <t xml:space="preserve">'R-W' </t>
    </r>
    <r>
      <rPr>
        <sz val="10"/>
        <rFont val="Noto Sans CJK SC"/>
        <family val="2"/>
      </rPr>
      <t xml:space="preserve">표기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선정표는 </t>
    </r>
    <r>
      <rPr>
        <sz val="10"/>
        <rFont val="Malgun Gothic"/>
        <family val="0"/>
        <charset val="1"/>
      </rPr>
      <t xml:space="preserve">'RNW' </t>
    </r>
    <r>
      <rPr>
        <sz val="10"/>
        <rFont val="Noto Sans CJK SC"/>
        <family val="2"/>
      </rPr>
      <t xml:space="preserve">표기</t>
    </r>
  </si>
  <si>
    <r>
      <rPr>
        <sz val="10"/>
        <rFont val="Noto Sans CJK SC"/>
        <family val="2"/>
      </rPr>
      <t xml:space="preserve">정격 냉방능력</t>
    </r>
    <r>
      <rPr>
        <sz val="10"/>
        <rFont val="Malgun Gothic"/>
        <family val="0"/>
        <charset val="1"/>
      </rPr>
      <t xml:space="preserve">(W)</t>
    </r>
  </si>
  <si>
    <t xml:space="preserve">양쪽 수치 직접 비교 가능</t>
  </si>
  <si>
    <r>
      <rPr>
        <sz val="10"/>
        <rFont val="Noto Sans CJK SC"/>
        <family val="2"/>
      </rPr>
      <t xml:space="preserve">정격 난방능력</t>
    </r>
    <r>
      <rPr>
        <sz val="10"/>
        <rFont val="Malgun Gothic"/>
        <family val="0"/>
        <charset val="1"/>
      </rPr>
      <t xml:space="preserve">(W)</t>
    </r>
  </si>
  <si>
    <r>
      <rPr>
        <sz val="10"/>
        <rFont val="Noto Sans CJK SC"/>
        <family val="2"/>
      </rPr>
      <t xml:space="preserve">장비번호</t>
    </r>
    <r>
      <rPr>
        <sz val="10"/>
        <rFont val="Malgun Gothic"/>
        <family val="0"/>
        <charset val="1"/>
      </rPr>
      <t xml:space="preserve">(IAC-)</t>
    </r>
  </si>
  <si>
    <t xml:space="preserve">X</t>
  </si>
  <si>
    <t xml:space="preserve">도면 전용</t>
  </si>
  <si>
    <t xml:space="preserve">선정표에는 장비번호 체계 없음</t>
  </si>
  <si>
    <r>
      <rPr>
        <sz val="10"/>
        <rFont val="Noto Sans CJK SC"/>
        <family val="2"/>
      </rPr>
      <t xml:space="preserve">분류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카세트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덕트 등</t>
    </r>
    <r>
      <rPr>
        <sz val="10"/>
        <rFont val="Malgun Gothic"/>
        <family val="0"/>
        <charset val="1"/>
      </rPr>
      <t xml:space="preserve">)</t>
    </r>
  </si>
  <si>
    <t xml:space="preserve">△</t>
  </si>
  <si>
    <r>
      <rPr>
        <sz val="10"/>
        <rFont val="Noto Sans CJK SC"/>
        <family val="2"/>
      </rPr>
      <t xml:space="preserve">선정표는 제품군 소제목으로만 존재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항목 아님</t>
    </r>
    <r>
      <rPr>
        <sz val="10"/>
        <rFont val="Malgun Gothic"/>
        <family val="0"/>
        <charset val="1"/>
      </rPr>
      <t xml:space="preserve">)</t>
    </r>
  </si>
  <si>
    <t xml:space="preserve">수량</t>
  </si>
  <si>
    <r>
      <rPr>
        <sz val="10"/>
        <rFont val="Noto Sans CJK SC"/>
        <family val="2"/>
      </rPr>
      <t xml:space="preserve">전원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선식</t>
    </r>
    <r>
      <rPr>
        <sz val="10"/>
        <rFont val="Malgun Gothic"/>
        <family val="0"/>
        <charset val="1"/>
      </rPr>
      <t xml:space="preserve">, V, Hz)</t>
    </r>
  </si>
  <si>
    <r>
      <rPr>
        <sz val="10"/>
        <rFont val="Noto Sans CJK SC"/>
        <family val="2"/>
      </rPr>
      <t xml:space="preserve">정격 소비전력</t>
    </r>
    <r>
      <rPr>
        <sz val="10"/>
        <rFont val="Malgun Gothic"/>
        <family val="0"/>
        <charset val="1"/>
      </rPr>
      <t xml:space="preserve">(kW) </t>
    </r>
    <r>
      <rPr>
        <sz val="10"/>
        <rFont val="Noto Sans CJK SC"/>
        <family val="2"/>
      </rPr>
      <t xml:space="preserve">냉방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난방</t>
    </r>
  </si>
  <si>
    <r>
      <rPr>
        <sz val="10"/>
        <rFont val="Noto Sans CJK SC"/>
        <family val="2"/>
      </rPr>
      <t xml:space="preserve">운전전류</t>
    </r>
    <r>
      <rPr>
        <sz val="10"/>
        <rFont val="Malgun Gothic"/>
        <family val="0"/>
        <charset val="1"/>
      </rPr>
      <t xml:space="preserve">(A) </t>
    </r>
    <r>
      <rPr>
        <sz val="10"/>
        <rFont val="Noto Sans CJK SC"/>
        <family val="2"/>
      </rPr>
      <t xml:space="preserve">냉방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난방</t>
    </r>
  </si>
  <si>
    <r>
      <rPr>
        <sz val="10"/>
        <rFont val="Noto Sans CJK SC"/>
        <family val="2"/>
      </rPr>
      <t xml:space="preserve">송풍기 풍량</t>
    </r>
    <r>
      <rPr>
        <sz val="10"/>
        <rFont val="Malgun Gothic"/>
        <family val="0"/>
        <charset val="1"/>
      </rPr>
      <t xml:space="preserve">(CMM)/</t>
    </r>
    <r>
      <rPr>
        <sz val="10"/>
        <rFont val="Noto Sans CJK SC"/>
        <family val="2"/>
      </rPr>
      <t xml:space="preserve">기외정압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정격출력</t>
    </r>
  </si>
  <si>
    <r>
      <rPr>
        <sz val="10"/>
        <rFont val="Noto Sans CJK SC"/>
        <family val="2"/>
      </rPr>
      <t xml:space="preserve">제품중량</t>
    </r>
    <r>
      <rPr>
        <sz val="10"/>
        <rFont val="Malgun Gothic"/>
        <family val="0"/>
        <charset val="1"/>
      </rPr>
      <t xml:space="preserve">(kg)</t>
    </r>
  </si>
  <si>
    <r>
      <rPr>
        <sz val="10"/>
        <rFont val="Noto Sans CJK SC"/>
        <family val="2"/>
      </rPr>
      <t xml:space="preserve">배관구경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액관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가스관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드레인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</si>
  <si>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본체치수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반입치수</t>
    </r>
    <r>
      <rPr>
        <sz val="10"/>
        <rFont val="Malgun Gothic"/>
        <family val="0"/>
        <charset val="1"/>
      </rPr>
      <t xml:space="preserve">(WxHxD)</t>
    </r>
  </si>
  <si>
    <r>
      <rPr>
        <sz val="10"/>
        <rFont val="Noto Sans CJK SC"/>
        <family val="2"/>
      </rPr>
      <t xml:space="preserve">몸심선</t>
    </r>
    <r>
      <rPr>
        <sz val="10"/>
        <rFont val="Malgun Gothic"/>
        <family val="0"/>
        <charset val="1"/>
      </rPr>
      <t xml:space="preserve">(VCTF-SB) / </t>
    </r>
    <r>
      <rPr>
        <sz val="10"/>
        <rFont val="Noto Sans CJK SC"/>
        <family val="2"/>
      </rPr>
      <t xml:space="preserve">전원선</t>
    </r>
    <r>
      <rPr>
        <sz val="10"/>
        <rFont val="Malgun Gothic"/>
        <family val="0"/>
        <charset val="1"/>
      </rPr>
      <t xml:space="preserve">(H07RN-F)</t>
    </r>
  </si>
  <si>
    <r>
      <rPr>
        <sz val="10"/>
        <rFont val="Noto Sans CJK SC"/>
        <family val="2"/>
      </rPr>
      <t xml:space="preserve">누전차단기 규격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수량</t>
    </r>
  </si>
  <si>
    <r>
      <rPr>
        <sz val="10"/>
        <rFont val="Noto Sans CJK SC"/>
        <family val="2"/>
      </rPr>
      <t xml:space="preserve">실외기 모델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능력</t>
    </r>
    <r>
      <rPr>
        <sz val="10"/>
        <rFont val="Malgun Gothic"/>
        <family val="0"/>
        <charset val="1"/>
      </rPr>
      <t xml:space="preserve">(Multi V Super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)</t>
    </r>
  </si>
  <si>
    <t xml:space="preserve">선정표 전용</t>
  </si>
  <si>
    <t xml:space="preserve">도면 이미지는 실내기 일람표만 해당</t>
  </si>
  <si>
    <r>
      <rPr>
        <sz val="10"/>
        <rFont val="Noto Sans CJK SC"/>
        <family val="2"/>
      </rPr>
      <t xml:space="preserve">타 제품군</t>
    </r>
    <r>
      <rPr>
        <sz val="10"/>
        <rFont val="Malgun Gothic"/>
        <family val="0"/>
        <charset val="1"/>
      </rPr>
      <t xml:space="preserve">(FCU, All in 1, DOAS, Water5 </t>
    </r>
    <r>
      <rPr>
        <sz val="10"/>
        <rFont val="Noto Sans CJK SC"/>
        <family val="2"/>
      </rPr>
      <t xml:space="preserve">실외기 등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</si>
  <si>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냉난방 시험조건</t>
    </r>
    <r>
      <rPr>
        <sz val="10"/>
        <rFont val="Malgun Gothic"/>
        <family val="0"/>
        <charset val="1"/>
      </rPr>
      <t xml:space="preserve">(A/B</t>
    </r>
    <r>
      <rPr>
        <sz val="10"/>
        <rFont val="Noto Sans CJK SC"/>
        <family val="2"/>
      </rPr>
      <t xml:space="preserve">조건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주석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</si>
</sst>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Noto Sans CJK SC"/>
      <family val="2"/>
    </font>
    <font>
      <b val="true"/>
      <sz val="15"/>
      <name val="Malgun Gothic"/>
      <family val="0"/>
      <charset val="1"/>
    </font>
    <font>
      <sz val="9"/>
      <color rgb="FF808080"/>
      <name val="Noto Sans CJK SC"/>
      <family val="2"/>
    </font>
    <font>
      <sz val="9"/>
      <color rgb="FF808080"/>
      <name val="Malgun Gothic"/>
      <family val="0"/>
      <charset val="1"/>
    </font>
    <font>
      <sz val="9"/>
      <color rgb="FFC00000"/>
      <name val="Noto Sans CJK SC"/>
      <family val="2"/>
    </font>
    <font>
      <sz val="9"/>
      <color rgb="FFC00000"/>
      <name val="Malgun Gothic"/>
      <family val="0"/>
      <charset val="1"/>
    </font>
    <font>
      <b val="true"/>
      <sz val="11"/>
      <color rgb="FF1F4E79"/>
      <name val="Malgun Gothic"/>
      <family val="0"/>
      <charset val="1"/>
    </font>
    <font>
      <b val="true"/>
      <sz val="11"/>
      <color rgb="FF1F4E79"/>
      <name val="Noto Sans CJK SC"/>
      <family val="2"/>
    </font>
    <font>
      <sz val="10"/>
      <name val="Noto Sans CJK SC"/>
      <family val="2"/>
    </font>
    <font>
      <b val="true"/>
      <sz val="10"/>
      <name val="Malgun Gothic"/>
      <family val="0"/>
      <charset val="1"/>
    </font>
    <font>
      <sz val="10"/>
      <name val="Malgun Gothic"/>
      <family val="0"/>
      <charset val="1"/>
    </font>
    <font>
      <b val="true"/>
      <sz val="13"/>
      <name val="Noto Sans CJK SC"/>
      <family val="2"/>
    </font>
    <font>
      <b val="true"/>
      <sz val="13"/>
      <name val="Malgun Gothic"/>
      <family val="0"/>
      <charset val="1"/>
    </font>
    <font>
      <b val="true"/>
      <sz val="10"/>
      <color rgb="FFFFFFFF"/>
      <name val="Malgun Gothic"/>
      <family val="0"/>
      <charset val="1"/>
    </font>
    <font>
      <b val="true"/>
      <sz val="10"/>
      <color rgb="FFFFFFFF"/>
      <name val="Noto Sans CJK SC"/>
      <family val="2"/>
    </font>
    <font>
      <b val="true"/>
      <sz val="12"/>
      <name val="Noto Sans CJK SC"/>
      <family val="2"/>
    </font>
    <font>
      <b val="true"/>
      <sz val="12"/>
      <name val="Malgun Gothic"/>
      <family val="0"/>
      <charset val="1"/>
    </font>
    <font>
      <sz val="10"/>
      <color rgb="FF006100"/>
      <name val="Noto Sans CJK SC"/>
      <family val="2"/>
    </font>
    <font>
      <sz val="10"/>
      <color rgb="FF9C6500"/>
      <name val="Noto Sans CJK SC"/>
      <family val="2"/>
    </font>
    <font>
      <sz val="10"/>
      <color rgb="FF9C0006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Malgun Gothic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Malgun Gothic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Malgun Gothic"/>
        <charset val="1"/>
        <family val="0"/>
        <color rgb="FF9C65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8"/>
    <col collapsed="false" customWidth="true" hidden="false" outlineLevel="0" max="3" min="3" style="0" width="8"/>
    <col collapsed="false" customWidth="true" hidden="false" outlineLevel="0" max="4" min="4" style="0" width="6"/>
  </cols>
  <sheetData>
    <row r="2" customFormat="false" ht="23.1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7.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  <c r="C7" s="6" t="n">
        <f aca="false">COUNTA(모델별_비교!B4:B53)</f>
        <v>50</v>
      </c>
      <c r="D7" s="5" t="s">
        <v>5</v>
      </c>
    </row>
    <row r="8" customFormat="false" ht="15" hidden="false" customHeight="false" outlineLevel="0" collapsed="false">
      <c r="B8" s="5" t="s">
        <v>6</v>
      </c>
      <c r="C8" s="6" t="n">
        <f aca="false">COUNTIF(모델별_비교!F:F,"일치")</f>
        <v>27</v>
      </c>
      <c r="D8" s="5" t="s">
        <v>5</v>
      </c>
    </row>
    <row r="9" customFormat="false" ht="15" hidden="false" customHeight="false" outlineLevel="0" collapsed="false">
      <c r="B9" s="5" t="s">
        <v>7</v>
      </c>
      <c r="C9" s="6" t="n">
        <f aca="false">COUNTIF(모델별_비교!F:F,"표기차이*")</f>
        <v>23</v>
      </c>
      <c r="D9" s="5" t="s">
        <v>5</v>
      </c>
    </row>
    <row r="10" customFormat="false" ht="15" hidden="false" customHeight="false" outlineLevel="0" collapsed="false">
      <c r="B10" s="5" t="s">
        <v>8</v>
      </c>
      <c r="C10" s="6" t="n">
        <f aca="false">COUNTIF(모델별_비교!F:F,"선정표에 없음")</f>
        <v>0</v>
      </c>
      <c r="D10" s="5" t="s">
        <v>5</v>
      </c>
    </row>
    <row r="11" customFormat="false" ht="15" hidden="false" customHeight="false" outlineLevel="0" collapsed="false">
      <c r="B11" s="5" t="s">
        <v>9</v>
      </c>
      <c r="C11" s="6" t="n">
        <f aca="false">COUNTIF(모델별_비교!I:I,"불일치")</f>
        <v>3</v>
      </c>
      <c r="D11" s="5" t="s">
        <v>10</v>
      </c>
    </row>
    <row r="12" customFormat="false" ht="15" hidden="false" customHeight="false" outlineLevel="0" collapsed="false">
      <c r="B12" s="5" t="s">
        <v>11</v>
      </c>
      <c r="C12" s="6" t="n">
        <f aca="false">COUNTIF(모델별_비교!L:L,"불일치")</f>
        <v>4</v>
      </c>
      <c r="D12" s="5" t="s">
        <v>10</v>
      </c>
    </row>
    <row r="13" customFormat="false" ht="15" hidden="false" customHeight="false" outlineLevel="0" collapsed="false">
      <c r="B13" s="5" t="s">
        <v>12</v>
      </c>
      <c r="C13" s="6" t="n">
        <f aca="false">COUNTIF(모델별_비교!M:M,"일치")</f>
        <v>26</v>
      </c>
      <c r="D13" s="5" t="s">
        <v>5</v>
      </c>
    </row>
    <row r="14" customFormat="false" ht="15" hidden="false" customHeight="false" outlineLevel="0" collapsed="false">
      <c r="B14" s="5" t="s">
        <v>13</v>
      </c>
      <c r="C14" s="6" t="n">
        <f aca="false">COUNTIF(모델별_비교!M:M,"용량 불일치")</f>
        <v>6</v>
      </c>
      <c r="D14" s="5" t="s">
        <v>5</v>
      </c>
    </row>
    <row r="15" customFormat="false" ht="15" hidden="false" customHeight="false" outlineLevel="0" collapsed="false">
      <c r="B15" s="5" t="s">
        <v>14</v>
      </c>
      <c r="C15" s="6" t="n">
        <f aca="false">COUNTIF(선정표_실내기!E3:E73,"도면에 없음")</f>
        <v>21</v>
      </c>
      <c r="D15" s="5" t="s">
        <v>15</v>
      </c>
    </row>
    <row r="16" customFormat="false" ht="15" hidden="false" customHeight="false" outlineLevel="0" collapsed="false">
      <c r="B16" s="7"/>
    </row>
    <row r="17" customFormat="false" ht="17.15" hidden="false" customHeight="false" outlineLevel="0" collapsed="false">
      <c r="B17" s="4" t="s">
        <v>16</v>
      </c>
    </row>
    <row r="18" customFormat="false" ht="15" hidden="false" customHeight="false" outlineLevel="0" collapsed="false">
      <c r="B18" s="7" t="s">
        <v>17</v>
      </c>
    </row>
    <row r="19" customFormat="false" ht="15" hidden="false" customHeight="false" outlineLevel="0" collapsed="false">
      <c r="B19" s="7" t="s">
        <v>18</v>
      </c>
    </row>
    <row r="20" customFormat="false" ht="15" hidden="false" customHeight="false" outlineLevel="0" collapsed="false">
      <c r="B20" s="7" t="s">
        <v>19</v>
      </c>
    </row>
    <row r="21" customFormat="false" ht="15" hidden="false" customHeight="false" outlineLevel="0" collapsed="false">
      <c r="B21" s="7"/>
    </row>
    <row r="22" customFormat="false" ht="17.15" hidden="false" customHeight="false" outlineLevel="0" collapsed="false">
      <c r="B22" s="4" t="s">
        <v>20</v>
      </c>
    </row>
    <row r="23" customFormat="false" ht="15" hidden="false" customHeight="false" outlineLevel="0" collapsed="false">
      <c r="B23" s="7" t="s">
        <v>21</v>
      </c>
    </row>
    <row r="24" customFormat="false" ht="15" hidden="false" customHeight="false" outlineLevel="0" collapsed="false">
      <c r="B24" s="7" t="s">
        <v>22</v>
      </c>
    </row>
    <row r="25" customFormat="false" ht="15" hidden="false" customHeight="false" outlineLevel="0" collapsed="false">
      <c r="B25" s="7" t="s">
        <v>23</v>
      </c>
    </row>
    <row r="26" customFormat="false" ht="15" hidden="false" customHeight="false" outlineLevel="0" collapsed="false">
      <c r="B26" s="7" t="s">
        <v>24</v>
      </c>
    </row>
    <row r="27" customFormat="false" ht="15" hidden="false" customHeight="false" outlineLevel="0" collapsed="false">
      <c r="B27" s="7" t="s">
        <v>25</v>
      </c>
    </row>
    <row r="28" customFormat="false" ht="15" hidden="false" customHeight="false" outlineLevel="0" collapsed="false">
      <c r="B28" s="7" t="s">
        <v>26</v>
      </c>
    </row>
    <row r="29" customFormat="false" ht="15" hidden="false" customHeight="false" outlineLevel="0" collapsed="false">
      <c r="B29" s="8" t="s">
        <v>27</v>
      </c>
    </row>
    <row r="30" customFormat="false" ht="15" hidden="false" customHeight="false" outlineLevel="0" collapsed="false">
      <c r="B30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6" min="6" style="0" width="19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46"/>
  </cols>
  <sheetData>
    <row r="1" customFormat="false" ht="20.1" hidden="false" customHeight="false" outlineLevel="0" collapsed="false">
      <c r="A1" s="9" t="s">
        <v>29</v>
      </c>
    </row>
    <row r="2" customFormat="false" ht="15" hidden="false" customHeight="false" outlineLevel="0" collapsed="false">
      <c r="A2" s="2" t="s">
        <v>30</v>
      </c>
    </row>
    <row r="3" customFormat="false" ht="15" hidden="false" customHeight="false" outlineLevel="0" collapsed="false">
      <c r="A3" s="10" t="s">
        <v>31</v>
      </c>
      <c r="B3" s="11" t="s">
        <v>32</v>
      </c>
      <c r="C3" s="11" t="s">
        <v>33</v>
      </c>
      <c r="D3" s="11" t="s">
        <v>34</v>
      </c>
      <c r="E3" s="11" t="s">
        <v>35</v>
      </c>
      <c r="F3" s="11" t="s">
        <v>36</v>
      </c>
      <c r="G3" s="11" t="s">
        <v>37</v>
      </c>
      <c r="H3" s="11" t="s">
        <v>38</v>
      </c>
      <c r="I3" s="11" t="s">
        <v>39</v>
      </c>
      <c r="J3" s="11" t="s">
        <v>40</v>
      </c>
      <c r="K3" s="11" t="s">
        <v>41</v>
      </c>
      <c r="L3" s="11" t="s">
        <v>42</v>
      </c>
      <c r="M3" s="11" t="s">
        <v>43</v>
      </c>
      <c r="N3" s="11" t="s">
        <v>44</v>
      </c>
    </row>
    <row r="4" customFormat="false" ht="15" hidden="false" customHeight="false" outlineLevel="0" collapsed="false">
      <c r="A4" s="12" t="n">
        <v>1</v>
      </c>
      <c r="B4" s="12" t="s">
        <v>45</v>
      </c>
      <c r="C4" s="13" t="s">
        <v>46</v>
      </c>
      <c r="D4" s="13" t="s">
        <v>47</v>
      </c>
      <c r="E4" s="5" t="str">
        <f aca="false">IFERROR(VLOOKUP(SUBSTITUTE(D4,"R-W","RNW"),선정표_실내기!$A:$C,1,FALSE()),"선정표에 없음")</f>
        <v>RNW0200C2S</v>
      </c>
      <c r="F4" s="14" t="str">
        <f aca="false">IF(E4="선정표에 없음","선정표에 없음",IF(D4=E4,"일치","표기차이(R-W↔RNW)"))</f>
        <v>표기차이(R-W↔RNW)</v>
      </c>
      <c r="G4" s="15" t="n">
        <v>2000</v>
      </c>
      <c r="H4" s="15" t="n">
        <f aca="false">IF(E4="선정표에 없음","",VLOOKUP(SUBSTITUTE(D4,"R-W","RNW"),선정표_실내기!$A:$C,2,FALSE()))</f>
        <v>2000</v>
      </c>
      <c r="I4" s="14" t="str">
        <f aca="false">IF(H4="","-",IF(G4=H4,"일치","불일치"))</f>
        <v>일치</v>
      </c>
      <c r="J4" s="15" t="n">
        <v>3200</v>
      </c>
      <c r="K4" s="15" t="n">
        <f aca="false">IF(E4="선정표에 없음","",VLOOKUP(SUBSTITUTE(D4,"R-W","RNW"),선정표_실내기!$A:$C,3,FALSE()))</f>
        <v>2200</v>
      </c>
      <c r="L4" s="14" t="str">
        <f aca="false">IF(K4="","-",IF(J4=K4,"일치","불일치"))</f>
        <v>불일치</v>
      </c>
      <c r="M4" s="14" t="str">
        <f aca="false">IF(F4="선정표에 없음","선정표에 없음",IF(OR(I4="불일치",L4="불일치"),"용량 불일치",IF(F4="일치","일치","모델명 표기차이")))</f>
        <v>용량 불일치</v>
      </c>
      <c r="N4" s="5" t="s">
        <v>48</v>
      </c>
    </row>
    <row r="5" customFormat="false" ht="15" hidden="false" customHeight="false" outlineLevel="0" collapsed="false">
      <c r="A5" s="12" t="n">
        <v>2</v>
      </c>
      <c r="B5" s="12" t="s">
        <v>49</v>
      </c>
      <c r="C5" s="13" t="s">
        <v>46</v>
      </c>
      <c r="D5" s="13" t="s">
        <v>50</v>
      </c>
      <c r="E5" s="5" t="str">
        <f aca="false">IFERROR(VLOOKUP(SUBSTITUTE(D5,"R-W","RNW"),선정표_실내기!$A:$C,1,FALSE()),"선정표에 없음")</f>
        <v>RNW0230C2S</v>
      </c>
      <c r="F5" s="14" t="str">
        <f aca="false">IF(E5="선정표에 없음","선정표에 없음",IF(D5=E5,"일치","표기차이(R-W↔RNW)"))</f>
        <v>표기차이(R-W↔RNW)</v>
      </c>
      <c r="G5" s="15" t="n">
        <v>2300</v>
      </c>
      <c r="H5" s="15" t="n">
        <f aca="false">IF(E5="선정표에 없음","",VLOOKUP(SUBSTITUTE(D5,"R-W","RNW"),선정표_실내기!$A:$C,2,FALSE()))</f>
        <v>2300</v>
      </c>
      <c r="I5" s="14" t="str">
        <f aca="false">IF(H5="","-",IF(G5=H5,"일치","불일치"))</f>
        <v>일치</v>
      </c>
      <c r="J5" s="15" t="n">
        <v>2600</v>
      </c>
      <c r="K5" s="15" t="n">
        <f aca="false">IF(E5="선정표에 없음","",VLOOKUP(SUBSTITUTE(D5,"R-W","RNW"),선정표_실내기!$A:$C,3,FALSE()))</f>
        <v>2600</v>
      </c>
      <c r="L5" s="14" t="str">
        <f aca="false">IF(K5="","-",IF(J5=K5,"일치","불일치"))</f>
        <v>일치</v>
      </c>
      <c r="M5" s="14" t="str">
        <f aca="false">IF(F5="선정표에 없음","선정표에 없음",IF(OR(I5="불일치",L5="불일치"),"용량 불일치",IF(F5="일치","일치","모델명 표기차이")))</f>
        <v>모델명 표기차이</v>
      </c>
      <c r="N5" s="5"/>
    </row>
    <row r="6" customFormat="false" ht="15" hidden="false" customHeight="false" outlineLevel="0" collapsed="false">
      <c r="A6" s="12" t="n">
        <v>3</v>
      </c>
      <c r="B6" s="12" t="s">
        <v>51</v>
      </c>
      <c r="C6" s="13" t="s">
        <v>46</v>
      </c>
      <c r="D6" s="13" t="s">
        <v>52</v>
      </c>
      <c r="E6" s="5" t="str">
        <f aca="false">IFERROR(VLOOKUP(SUBSTITUTE(D6,"R-W","RNW"),선정표_실내기!$A:$C,1,FALSE()),"선정표에 없음")</f>
        <v>RNW0320C2S</v>
      </c>
      <c r="F6" s="14" t="str">
        <f aca="false">IF(E6="선정표에 없음","선정표에 없음",IF(D6=E6,"일치","표기차이(R-W↔RNW)"))</f>
        <v>표기차이(R-W↔RNW)</v>
      </c>
      <c r="G6" s="15" t="n">
        <v>3300</v>
      </c>
      <c r="H6" s="15" t="n">
        <f aca="false">IF(E6="선정표에 없음","",VLOOKUP(SUBSTITUTE(D6,"R-W","RNW"),선정표_실내기!$A:$C,2,FALSE()))</f>
        <v>3200</v>
      </c>
      <c r="I6" s="14" t="str">
        <f aca="false">IF(H6="","-",IF(G6=H6,"일치","불일치"))</f>
        <v>불일치</v>
      </c>
      <c r="J6" s="15" t="n">
        <v>3600</v>
      </c>
      <c r="K6" s="15" t="n">
        <f aca="false">IF(E6="선정표에 없음","",VLOOKUP(SUBSTITUTE(D6,"R-W","RNW"),선정표_실내기!$A:$C,3,FALSE()))</f>
        <v>3600</v>
      </c>
      <c r="L6" s="14" t="str">
        <f aca="false">IF(K6="","-",IF(J6=K6,"일치","불일치"))</f>
        <v>일치</v>
      </c>
      <c r="M6" s="14" t="str">
        <f aca="false">IF(F6="선정표에 없음","선정표에 없음",IF(OR(I6="불일치",L6="불일치"),"용량 불일치",IF(F6="일치","일치","모델명 표기차이")))</f>
        <v>용량 불일치</v>
      </c>
      <c r="N6" s="5" t="s">
        <v>48</v>
      </c>
    </row>
    <row r="7" customFormat="false" ht="15" hidden="false" customHeight="false" outlineLevel="0" collapsed="false">
      <c r="A7" s="12" t="n">
        <v>4</v>
      </c>
      <c r="B7" s="12" t="s">
        <v>53</v>
      </c>
      <c r="C7" s="13" t="s">
        <v>46</v>
      </c>
      <c r="D7" s="13" t="s">
        <v>54</v>
      </c>
      <c r="E7" s="5" t="str">
        <f aca="false">IFERROR(VLOOKUP(SUBSTITUTE(D7,"R-W","RNW"),선정표_실내기!$A:$C,1,FALSE()),"선정표에 없음")</f>
        <v>RNW0400C2S</v>
      </c>
      <c r="F7" s="14" t="str">
        <f aca="false">IF(E7="선정표에 없음","선정표에 없음",IF(D7=E7,"일치","표기차이(R-W↔RNW)"))</f>
        <v>표기차이(R-W↔RNW)</v>
      </c>
      <c r="G7" s="15" t="n">
        <v>4000</v>
      </c>
      <c r="H7" s="15" t="n">
        <f aca="false">IF(E7="선정표에 없음","",VLOOKUP(SUBSTITUTE(D7,"R-W","RNW"),선정표_실내기!$A:$C,2,FALSE()))</f>
        <v>4000</v>
      </c>
      <c r="I7" s="14" t="str">
        <f aca="false">IF(H7="","-",IF(G7=H7,"일치","불일치"))</f>
        <v>일치</v>
      </c>
      <c r="J7" s="15" t="n">
        <v>4500</v>
      </c>
      <c r="K7" s="15" t="n">
        <f aca="false">IF(E7="선정표에 없음","",VLOOKUP(SUBSTITUTE(D7,"R-W","RNW"),선정표_실내기!$A:$C,3,FALSE()))</f>
        <v>4500</v>
      </c>
      <c r="L7" s="14" t="str">
        <f aca="false">IF(K7="","-",IF(J7=K7,"일치","불일치"))</f>
        <v>일치</v>
      </c>
      <c r="M7" s="14" t="str">
        <f aca="false">IF(F7="선정표에 없음","선정표에 없음",IF(OR(I7="불일치",L7="불일치"),"용량 불일치",IF(F7="일치","일치","모델명 표기차이")))</f>
        <v>모델명 표기차이</v>
      </c>
      <c r="N7" s="5"/>
    </row>
    <row r="8" customFormat="false" ht="15" hidden="false" customHeight="false" outlineLevel="0" collapsed="false">
      <c r="A8" s="12" t="n">
        <v>5</v>
      </c>
      <c r="B8" s="12" t="s">
        <v>55</v>
      </c>
      <c r="C8" s="13" t="s">
        <v>46</v>
      </c>
      <c r="D8" s="13" t="s">
        <v>56</v>
      </c>
      <c r="E8" s="5" t="str">
        <f aca="false">IFERROR(VLOOKUP(SUBSTITUTE(D8,"R-W","RNW"),선정표_실내기!$A:$C,1,FALSE()),"선정표에 없음")</f>
        <v>RNW0520C2S</v>
      </c>
      <c r="F8" s="14" t="str">
        <f aca="false">IF(E8="선정표에 없음","선정표에 없음",IF(D8=E8,"일치","표기차이(R-W↔RNW)"))</f>
        <v>표기차이(R-W↔RNW)</v>
      </c>
      <c r="G8" s="15" t="n">
        <v>5200</v>
      </c>
      <c r="H8" s="15" t="n">
        <f aca="false">IF(E8="선정표에 없음","",VLOOKUP(SUBSTITUTE(D8,"R-W","RNW"),선정표_실내기!$A:$C,2,FALSE()))</f>
        <v>5200</v>
      </c>
      <c r="I8" s="14" t="str">
        <f aca="false">IF(H8="","-",IF(G8=H8,"일치","불일치"))</f>
        <v>일치</v>
      </c>
      <c r="J8" s="15" t="n">
        <v>5800</v>
      </c>
      <c r="K8" s="15" t="n">
        <f aca="false">IF(E8="선정표에 없음","",VLOOKUP(SUBSTITUTE(D8,"R-W","RNW"),선정표_실내기!$A:$C,3,FALSE()))</f>
        <v>5900</v>
      </c>
      <c r="L8" s="14" t="str">
        <f aca="false">IF(K8="","-",IF(J8=K8,"일치","불일치"))</f>
        <v>불일치</v>
      </c>
      <c r="M8" s="14" t="str">
        <f aca="false">IF(F8="선정표에 없음","선정표에 없음",IF(OR(I8="불일치",L8="불일치"),"용량 불일치",IF(F8="일치","일치","모델명 표기차이")))</f>
        <v>용량 불일치</v>
      </c>
      <c r="N8" s="5" t="s">
        <v>48</v>
      </c>
    </row>
    <row r="9" customFormat="false" ht="15" hidden="false" customHeight="false" outlineLevel="0" collapsed="false">
      <c r="A9" s="12" t="n">
        <v>6</v>
      </c>
      <c r="B9" s="12" t="s">
        <v>57</v>
      </c>
      <c r="C9" s="13" t="s">
        <v>46</v>
      </c>
      <c r="D9" s="13" t="s">
        <v>58</v>
      </c>
      <c r="E9" s="5" t="str">
        <f aca="false">IFERROR(VLOOKUP(SUBSTITUTE(D9,"R-W","RNW"),선정표_실내기!$A:$C,1,FALSE()),"선정표에 없음")</f>
        <v>RNW0600C2S</v>
      </c>
      <c r="F9" s="14" t="str">
        <f aca="false">IF(E9="선정표에 없음","선정표에 없음",IF(D9=E9,"일치","표기차이(R-W↔RNW)"))</f>
        <v>표기차이(R-W↔RNW)</v>
      </c>
      <c r="G9" s="15" t="n">
        <v>6000</v>
      </c>
      <c r="H9" s="15" t="n">
        <f aca="false">IF(E9="선정표에 없음","",VLOOKUP(SUBSTITUTE(D9,"R-W","RNW"),선정표_실내기!$A:$C,2,FALSE()))</f>
        <v>6000</v>
      </c>
      <c r="I9" s="14" t="str">
        <f aca="false">IF(H9="","-",IF(G9=H9,"일치","불일치"))</f>
        <v>일치</v>
      </c>
      <c r="J9" s="15" t="n">
        <v>6800</v>
      </c>
      <c r="K9" s="15" t="n">
        <f aca="false">IF(E9="선정표에 없음","",VLOOKUP(SUBSTITUTE(D9,"R-W","RNW"),선정표_실내기!$A:$C,3,FALSE()))</f>
        <v>6800</v>
      </c>
      <c r="L9" s="14" t="str">
        <f aca="false">IF(K9="","-",IF(J9=K9,"일치","불일치"))</f>
        <v>일치</v>
      </c>
      <c r="M9" s="14" t="str">
        <f aca="false">IF(F9="선정표에 없음","선정표에 없음",IF(OR(I9="불일치",L9="불일치"),"용량 불일치",IF(F9="일치","일치","모델명 표기차이")))</f>
        <v>모델명 표기차이</v>
      </c>
      <c r="N9" s="5"/>
    </row>
    <row r="10" customFormat="false" ht="15" hidden="false" customHeight="false" outlineLevel="0" collapsed="false">
      <c r="A10" s="12" t="n">
        <v>7</v>
      </c>
      <c r="B10" s="12" t="s">
        <v>59</v>
      </c>
      <c r="C10" s="13" t="s">
        <v>46</v>
      </c>
      <c r="D10" s="13" t="s">
        <v>60</v>
      </c>
      <c r="E10" s="5" t="str">
        <f aca="false">IFERROR(VLOOKUP(SUBSTITUTE(D10,"R-W","RNW"),선정표_실내기!$A:$C,1,FALSE()),"선정표에 없음")</f>
        <v>RNW0720C2S</v>
      </c>
      <c r="F10" s="14" t="str">
        <f aca="false">IF(E10="선정표에 없음","선정표에 없음",IF(D10=E10,"일치","표기차이(R-W↔RNW)"))</f>
        <v>표기차이(R-W↔RNW)</v>
      </c>
      <c r="G10" s="15" t="n">
        <v>7200</v>
      </c>
      <c r="H10" s="15" t="n">
        <f aca="false">IF(E10="선정표에 없음","",VLOOKUP(SUBSTITUTE(D10,"R-W","RNW"),선정표_실내기!$A:$C,2,FALSE()))</f>
        <v>7200</v>
      </c>
      <c r="I10" s="14" t="str">
        <f aca="false">IF(H10="","-",IF(G10=H10,"일치","불일치"))</f>
        <v>일치</v>
      </c>
      <c r="J10" s="15" t="n">
        <v>7200</v>
      </c>
      <c r="K10" s="15" t="n">
        <f aca="false">IF(E10="선정표에 없음","",VLOOKUP(SUBSTITUTE(D10,"R-W","RNW"),선정표_실내기!$A:$C,3,FALSE()))</f>
        <v>7200</v>
      </c>
      <c r="L10" s="14" t="str">
        <f aca="false">IF(K10="","-",IF(J10=K10,"일치","불일치"))</f>
        <v>일치</v>
      </c>
      <c r="M10" s="14" t="str">
        <f aca="false">IF(F10="선정표에 없음","선정표에 없음",IF(OR(I10="불일치",L10="불일치"),"용량 불일치",IF(F10="일치","일치","모델명 표기차이")))</f>
        <v>모델명 표기차이</v>
      </c>
      <c r="N10" s="5"/>
    </row>
    <row r="11" customFormat="false" ht="15" hidden="false" customHeight="false" outlineLevel="0" collapsed="false">
      <c r="A11" s="12" t="n">
        <v>8</v>
      </c>
      <c r="B11" s="12" t="s">
        <v>61</v>
      </c>
      <c r="C11" s="13" t="s">
        <v>62</v>
      </c>
      <c r="D11" s="13" t="s">
        <v>63</v>
      </c>
      <c r="E11" s="5" t="str">
        <f aca="false">IFERROR(VLOOKUP(SUBSTITUTE(D11,"R-W","RNW"),선정표_실내기!$A:$C,1,FALSE()),"선정표에 없음")</f>
        <v>RNW0521G2S</v>
      </c>
      <c r="F11" s="14" t="str">
        <f aca="false">IF(E11="선정표에 없음","선정표에 없음",IF(D11=E11,"일치","표기차이(R-W↔RNW)"))</f>
        <v>표기차이(R-W↔RNW)</v>
      </c>
      <c r="G11" s="15" t="n">
        <v>5200</v>
      </c>
      <c r="H11" s="15" t="n">
        <f aca="false">IF(E11="선정표에 없음","",VLOOKUP(SUBSTITUTE(D11,"R-W","RNW"),선정표_실내기!$A:$C,2,FALSE()))</f>
        <v>5200</v>
      </c>
      <c r="I11" s="14" t="str">
        <f aca="false">IF(H11="","-",IF(G11=H11,"일치","불일치"))</f>
        <v>일치</v>
      </c>
      <c r="J11" s="15" t="n">
        <v>5900</v>
      </c>
      <c r="K11" s="15" t="n">
        <f aca="false">IF(E11="선정표에 없음","",VLOOKUP(SUBSTITUTE(D11,"R-W","RNW"),선정표_실내기!$A:$C,3,FALSE()))</f>
        <v>5900</v>
      </c>
      <c r="L11" s="14" t="str">
        <f aca="false">IF(K11="","-",IF(J11=K11,"일치","불일치"))</f>
        <v>일치</v>
      </c>
      <c r="M11" s="14" t="str">
        <f aca="false">IF(F11="선정표에 없음","선정표에 없음",IF(OR(I11="불일치",L11="불일치"),"용량 불일치",IF(F11="일치","일치","모델명 표기차이")))</f>
        <v>모델명 표기차이</v>
      </c>
      <c r="N11" s="5"/>
    </row>
    <row r="12" customFormat="false" ht="15" hidden="false" customHeight="false" outlineLevel="0" collapsed="false">
      <c r="A12" s="12" t="n">
        <v>9</v>
      </c>
      <c r="B12" s="12" t="s">
        <v>64</v>
      </c>
      <c r="C12" s="13" t="s">
        <v>62</v>
      </c>
      <c r="D12" s="13" t="s">
        <v>65</v>
      </c>
      <c r="E12" s="5" t="str">
        <f aca="false">IFERROR(VLOOKUP(SUBSTITUTE(D12,"R-W","RNW"),선정표_실내기!$A:$C,1,FALSE()),"선정표에 없음")</f>
        <v>RNW0601G2S</v>
      </c>
      <c r="F12" s="14" t="str">
        <f aca="false">IF(E12="선정표에 없음","선정표에 없음",IF(D12=E12,"일치","표기차이(R-W↔RNW)"))</f>
        <v>표기차이(R-W↔RNW)</v>
      </c>
      <c r="G12" s="15" t="n">
        <v>4000</v>
      </c>
      <c r="H12" s="15" t="n">
        <f aca="false">IF(E12="선정표에 없음","",VLOOKUP(SUBSTITUTE(D12,"R-W","RNW"),선정표_실내기!$A:$C,2,FALSE()))</f>
        <v>6000</v>
      </c>
      <c r="I12" s="14" t="str">
        <f aca="false">IF(H12="","-",IF(G12=H12,"일치","불일치"))</f>
        <v>불일치</v>
      </c>
      <c r="J12" s="15" t="n">
        <v>6800</v>
      </c>
      <c r="K12" s="15" t="n">
        <f aca="false">IF(E12="선정표에 없음","",VLOOKUP(SUBSTITUTE(D12,"R-W","RNW"),선정표_실내기!$A:$C,3,FALSE()))</f>
        <v>6800</v>
      </c>
      <c r="L12" s="14" t="str">
        <f aca="false">IF(K12="","-",IF(J12=K12,"일치","불일치"))</f>
        <v>일치</v>
      </c>
      <c r="M12" s="14" t="str">
        <f aca="false">IF(F12="선정표에 없음","선정표에 없음",IF(OR(I12="불일치",L12="불일치"),"용량 불일치",IF(F12="일치","일치","모델명 표기차이")))</f>
        <v>용량 불일치</v>
      </c>
      <c r="N12" s="5" t="s">
        <v>48</v>
      </c>
    </row>
    <row r="13" customFormat="false" ht="15" hidden="false" customHeight="false" outlineLevel="0" collapsed="false">
      <c r="A13" s="12" t="n">
        <v>10</v>
      </c>
      <c r="B13" s="12" t="s">
        <v>66</v>
      </c>
      <c r="C13" s="13" t="s">
        <v>62</v>
      </c>
      <c r="D13" s="13" t="s">
        <v>67</v>
      </c>
      <c r="E13" s="5" t="str">
        <f aca="false">IFERROR(VLOOKUP(SUBSTITUTE(D13,"R-W","RNW"),선정표_실내기!$A:$C,1,FALSE()),"선정표에 없음")</f>
        <v>RNW0721G2S</v>
      </c>
      <c r="F13" s="14" t="str">
        <f aca="false">IF(E13="선정표에 없음","선정표에 없음",IF(D13=E13,"일치","표기차이(R-W↔RNW)"))</f>
        <v>표기차이(R-W↔RNW)</v>
      </c>
      <c r="G13" s="15" t="n">
        <v>7200</v>
      </c>
      <c r="H13" s="15" t="n">
        <f aca="false">IF(E13="선정표에 없음","",VLOOKUP(SUBSTITUTE(D13,"R-W","RNW"),선정표_실내기!$A:$C,2,FALSE()))</f>
        <v>7200</v>
      </c>
      <c r="I13" s="14" t="str">
        <f aca="false">IF(H13="","-",IF(G13=H13,"일치","불일치"))</f>
        <v>일치</v>
      </c>
      <c r="J13" s="15" t="n">
        <v>8100</v>
      </c>
      <c r="K13" s="15" t="n">
        <f aca="false">IF(E13="선정표에 없음","",VLOOKUP(SUBSTITUTE(D13,"R-W","RNW"),선정표_실내기!$A:$C,3,FALSE()))</f>
        <v>8100</v>
      </c>
      <c r="L13" s="14" t="str">
        <f aca="false">IF(K13="","-",IF(J13=K13,"일치","불일치"))</f>
        <v>일치</v>
      </c>
      <c r="M13" s="14" t="str">
        <f aca="false">IF(F13="선정표에 없음","선정표에 없음",IF(OR(I13="불일치",L13="불일치"),"용량 불일치",IF(F13="일치","일치","모델명 표기차이")))</f>
        <v>모델명 표기차이</v>
      </c>
      <c r="N13" s="5"/>
    </row>
    <row r="14" customFormat="false" ht="15" hidden="false" customHeight="false" outlineLevel="0" collapsed="false">
      <c r="A14" s="12" t="n">
        <v>11</v>
      </c>
      <c r="B14" s="12" t="s">
        <v>68</v>
      </c>
      <c r="C14" s="13" t="s">
        <v>69</v>
      </c>
      <c r="D14" s="13" t="s">
        <v>70</v>
      </c>
      <c r="E14" s="5" t="str">
        <f aca="false">IFERROR(VLOOKUP(SUBSTITUTE(D14,"R-W","RNW"),선정표_실내기!$A:$C,1,FALSE()),"선정표에 없음")</f>
        <v>RNW0230M2S</v>
      </c>
      <c r="F14" s="14" t="str">
        <f aca="false">IF(E14="선정표에 없음","선정표에 없음",IF(D14=E14,"일치","표기차이(R-W↔RNW)"))</f>
        <v>표기차이(R-W↔RNW)</v>
      </c>
      <c r="G14" s="15" t="n">
        <v>2300</v>
      </c>
      <c r="H14" s="15" t="n">
        <f aca="false">IF(E14="선정표에 없음","",VLOOKUP(SUBSTITUTE(D14,"R-W","RNW"),선정표_실내기!$A:$C,2,FALSE()))</f>
        <v>2300</v>
      </c>
      <c r="I14" s="14" t="str">
        <f aca="false">IF(H14="","-",IF(G14=H14,"일치","불일치"))</f>
        <v>일치</v>
      </c>
      <c r="J14" s="15" t="n">
        <v>2600</v>
      </c>
      <c r="K14" s="15" t="n">
        <f aca="false">IF(E14="선정표에 없음","",VLOOKUP(SUBSTITUTE(D14,"R-W","RNW"),선정표_실내기!$A:$C,3,FALSE()))</f>
        <v>2600</v>
      </c>
      <c r="L14" s="14" t="str">
        <f aca="false">IF(K14="","-",IF(J14=K14,"일치","불일치"))</f>
        <v>일치</v>
      </c>
      <c r="M14" s="14" t="str">
        <f aca="false">IF(F14="선정표에 없음","선정표에 없음",IF(OR(I14="불일치",L14="불일치"),"용량 불일치",IF(F14="일치","일치","모델명 표기차이")))</f>
        <v>모델명 표기차이</v>
      </c>
      <c r="N14" s="5"/>
    </row>
    <row r="15" customFormat="false" ht="15" hidden="false" customHeight="false" outlineLevel="0" collapsed="false">
      <c r="A15" s="12" t="n">
        <v>12</v>
      </c>
      <c r="B15" s="12" t="s">
        <v>71</v>
      </c>
      <c r="C15" s="13" t="s">
        <v>69</v>
      </c>
      <c r="D15" s="13" t="s">
        <v>72</v>
      </c>
      <c r="E15" s="5" t="str">
        <f aca="false">IFERROR(VLOOKUP(SUBSTITUTE(D15,"R-W","RNW"),선정표_실내기!$A:$C,1,FALSE()),"선정표에 없음")</f>
        <v>RNW0320M2S</v>
      </c>
      <c r="F15" s="14" t="str">
        <f aca="false">IF(E15="선정표에 없음","선정표에 없음",IF(D15=E15,"일치","표기차이(R-W↔RNW)"))</f>
        <v>표기차이(R-W↔RNW)</v>
      </c>
      <c r="G15" s="15" t="n">
        <v>3200</v>
      </c>
      <c r="H15" s="15" t="n">
        <f aca="false">IF(E15="선정표에 없음","",VLOOKUP(SUBSTITUTE(D15,"R-W","RNW"),선정표_실내기!$A:$C,2,FALSE()))</f>
        <v>3200</v>
      </c>
      <c r="I15" s="14" t="str">
        <f aca="false">IF(H15="","-",IF(G15=H15,"일치","불일치"))</f>
        <v>일치</v>
      </c>
      <c r="J15" s="15" t="n">
        <v>3600</v>
      </c>
      <c r="K15" s="15" t="n">
        <f aca="false">IF(E15="선정표에 없음","",VLOOKUP(SUBSTITUTE(D15,"R-W","RNW"),선정표_실내기!$A:$C,3,FALSE()))</f>
        <v>3600</v>
      </c>
      <c r="L15" s="14" t="str">
        <f aca="false">IF(K15="","-",IF(J15=K15,"일치","불일치"))</f>
        <v>일치</v>
      </c>
      <c r="M15" s="14" t="str">
        <f aca="false">IF(F15="선정표에 없음","선정표에 없음",IF(OR(I15="불일치",L15="불일치"),"용량 불일치",IF(F15="일치","일치","모델명 표기차이")))</f>
        <v>모델명 표기차이</v>
      </c>
      <c r="N15" s="5"/>
    </row>
    <row r="16" customFormat="false" ht="15" hidden="false" customHeight="false" outlineLevel="0" collapsed="false">
      <c r="A16" s="12" t="n">
        <v>13</v>
      </c>
      <c r="B16" s="12" t="s">
        <v>73</v>
      </c>
      <c r="C16" s="13" t="s">
        <v>69</v>
      </c>
      <c r="D16" s="13" t="s">
        <v>74</v>
      </c>
      <c r="E16" s="5" t="str">
        <f aca="false">IFERROR(VLOOKUP(SUBSTITUTE(D16,"R-W","RNW"),선정표_실내기!$A:$C,1,FALSE()),"선정표에 없음")</f>
        <v>RNW0400M2S</v>
      </c>
      <c r="F16" s="14" t="str">
        <f aca="false">IF(E16="선정표에 없음","선정표에 없음",IF(D16=E16,"일치","표기차이(R-W↔RNW)"))</f>
        <v>표기차이(R-W↔RNW)</v>
      </c>
      <c r="G16" s="15" t="n">
        <v>4000</v>
      </c>
      <c r="H16" s="15" t="n">
        <f aca="false">IF(E16="선정표에 없음","",VLOOKUP(SUBSTITUTE(D16,"R-W","RNW"),선정표_실내기!$A:$C,2,FALSE()))</f>
        <v>4000</v>
      </c>
      <c r="I16" s="14" t="str">
        <f aca="false">IF(H16="","-",IF(G16=H16,"일치","불일치"))</f>
        <v>일치</v>
      </c>
      <c r="J16" s="15" t="n">
        <v>4500</v>
      </c>
      <c r="K16" s="15" t="n">
        <f aca="false">IF(E16="선정표에 없음","",VLOOKUP(SUBSTITUTE(D16,"R-W","RNW"),선정표_실내기!$A:$C,3,FALSE()))</f>
        <v>4500</v>
      </c>
      <c r="L16" s="14" t="str">
        <f aca="false">IF(K16="","-",IF(J16=K16,"일치","불일치"))</f>
        <v>일치</v>
      </c>
      <c r="M16" s="14" t="str">
        <f aca="false">IF(F16="선정표에 없음","선정표에 없음",IF(OR(I16="불일치",L16="불일치"),"용량 불일치",IF(F16="일치","일치","모델명 표기차이")))</f>
        <v>모델명 표기차이</v>
      </c>
      <c r="N16" s="5"/>
    </row>
    <row r="17" customFormat="false" ht="15" hidden="false" customHeight="false" outlineLevel="0" collapsed="false">
      <c r="A17" s="12" t="n">
        <v>14</v>
      </c>
      <c r="B17" s="12" t="s">
        <v>75</v>
      </c>
      <c r="C17" s="13" t="s">
        <v>69</v>
      </c>
      <c r="D17" s="13" t="s">
        <v>76</v>
      </c>
      <c r="E17" s="5" t="str">
        <f aca="false">IFERROR(VLOOKUP(SUBSTITUTE(D17,"R-W","RNW"),선정표_실내기!$A:$C,1,FALSE()),"선정표에 없음")</f>
        <v>RNW0520M2S</v>
      </c>
      <c r="F17" s="14" t="str">
        <f aca="false">IF(E17="선정표에 없음","선정표에 없음",IF(D17=E17,"일치","표기차이(R-W↔RNW)"))</f>
        <v>표기차이(R-W↔RNW)</v>
      </c>
      <c r="G17" s="15" t="n">
        <v>4500</v>
      </c>
      <c r="H17" s="15" t="n">
        <f aca="false">IF(E17="선정표에 없음","",VLOOKUP(SUBSTITUTE(D17,"R-W","RNW"),선정표_실내기!$A:$C,2,FALSE()))</f>
        <v>5200</v>
      </c>
      <c r="I17" s="14" t="str">
        <f aca="false">IF(H17="","-",IF(G17=H17,"일치","불일치"))</f>
        <v>불일치</v>
      </c>
      <c r="J17" s="15" t="n">
        <v>5500</v>
      </c>
      <c r="K17" s="15" t="n">
        <f aca="false">IF(E17="선정표에 없음","",VLOOKUP(SUBSTITUTE(D17,"R-W","RNW"),선정표_실내기!$A:$C,3,FALSE()))</f>
        <v>5900</v>
      </c>
      <c r="L17" s="14" t="str">
        <f aca="false">IF(K17="","-",IF(J17=K17,"일치","불일치"))</f>
        <v>불일치</v>
      </c>
      <c r="M17" s="14" t="str">
        <f aca="false">IF(F17="선정표에 없음","선정표에 없음",IF(OR(I17="불일치",L17="불일치"),"용량 불일치",IF(F17="일치","일치","모델명 표기차이")))</f>
        <v>용량 불일치</v>
      </c>
      <c r="N17" s="5" t="s">
        <v>48</v>
      </c>
    </row>
    <row r="18" customFormat="false" ht="15" hidden="false" customHeight="false" outlineLevel="0" collapsed="false">
      <c r="A18" s="12" t="n">
        <v>15</v>
      </c>
      <c r="B18" s="12" t="s">
        <v>77</v>
      </c>
      <c r="C18" s="13" t="s">
        <v>78</v>
      </c>
      <c r="D18" s="13" t="s">
        <v>79</v>
      </c>
      <c r="E18" s="5" t="str">
        <f aca="false">IFERROR(VLOOKUP(SUBSTITUTE(D18,"R-W","RNW"),선정표_실내기!$A:$C,1,FALSE()),"선정표에 없음")</f>
        <v>RNW0401A2U</v>
      </c>
      <c r="F18" s="14" t="str">
        <f aca="false">IF(E18="선정표에 없음","선정표에 없음",IF(D18=E18,"일치","표기차이(R-W↔RNW)"))</f>
        <v>표기차이(R-W↔RNW)</v>
      </c>
      <c r="G18" s="15" t="n">
        <v>4000</v>
      </c>
      <c r="H18" s="15" t="n">
        <f aca="false">IF(E18="선정표에 없음","",VLOOKUP(SUBSTITUTE(D18,"R-W","RNW"),선정표_실내기!$A:$C,2,FALSE()))</f>
        <v>4000</v>
      </c>
      <c r="I18" s="14" t="str">
        <f aca="false">IF(H18="","-",IF(G18=H18,"일치","불일치"))</f>
        <v>일치</v>
      </c>
      <c r="J18" s="15" t="n">
        <v>4500</v>
      </c>
      <c r="K18" s="15" t="n">
        <f aca="false">IF(E18="선정표에 없음","",VLOOKUP(SUBSTITUTE(D18,"R-W","RNW"),선정표_실내기!$A:$C,3,FALSE()))</f>
        <v>4500</v>
      </c>
      <c r="L18" s="14" t="str">
        <f aca="false">IF(K18="","-",IF(J18=K18,"일치","불일치"))</f>
        <v>일치</v>
      </c>
      <c r="M18" s="14" t="str">
        <f aca="false">IF(F18="선정표에 없음","선정표에 없음",IF(OR(I18="불일치",L18="불일치"),"용량 불일치",IF(F18="일치","일치","모델명 표기차이")))</f>
        <v>모델명 표기차이</v>
      </c>
      <c r="N18" s="5"/>
    </row>
    <row r="19" customFormat="false" ht="15" hidden="false" customHeight="false" outlineLevel="0" collapsed="false">
      <c r="A19" s="12" t="n">
        <v>16</v>
      </c>
      <c r="B19" s="12" t="s">
        <v>80</v>
      </c>
      <c r="C19" s="13" t="s">
        <v>78</v>
      </c>
      <c r="D19" s="13" t="s">
        <v>81</v>
      </c>
      <c r="E19" s="5" t="str">
        <f aca="false">IFERROR(VLOOKUP(SUBSTITUTE(D19,"R-W","RNW"),선정표_실내기!$A:$C,1,FALSE()),"선정표에 없음")</f>
        <v>RNW0521A2U</v>
      </c>
      <c r="F19" s="14" t="str">
        <f aca="false">IF(E19="선정표에 없음","선정표에 없음",IF(D19=E19,"일치","표기차이(R-W↔RNW)"))</f>
        <v>표기차이(R-W↔RNW)</v>
      </c>
      <c r="G19" s="15" t="n">
        <v>5200</v>
      </c>
      <c r="H19" s="15" t="n">
        <f aca="false">IF(E19="선정표에 없음","",VLOOKUP(SUBSTITUTE(D19,"R-W","RNW"),선정표_실내기!$A:$C,2,FALSE()))</f>
        <v>5200</v>
      </c>
      <c r="I19" s="14" t="str">
        <f aca="false">IF(H19="","-",IF(G19=H19,"일치","불일치"))</f>
        <v>일치</v>
      </c>
      <c r="J19" s="15" t="n">
        <v>5900</v>
      </c>
      <c r="K19" s="15" t="n">
        <f aca="false">IF(E19="선정표에 없음","",VLOOKUP(SUBSTITUTE(D19,"R-W","RNW"),선정표_실내기!$A:$C,3,FALSE()))</f>
        <v>5900</v>
      </c>
      <c r="L19" s="14" t="str">
        <f aca="false">IF(K19="","-",IF(J19=K19,"일치","불일치"))</f>
        <v>일치</v>
      </c>
      <c r="M19" s="14" t="str">
        <f aca="false">IF(F19="선정표에 없음","선정표에 없음",IF(OR(I19="불일치",L19="불일치"),"용량 불일치",IF(F19="일치","일치","모델명 표기차이")))</f>
        <v>모델명 표기차이</v>
      </c>
      <c r="N19" s="5"/>
    </row>
    <row r="20" customFormat="false" ht="15" hidden="false" customHeight="false" outlineLevel="0" collapsed="false">
      <c r="A20" s="12" t="n">
        <v>17</v>
      </c>
      <c r="B20" s="12" t="s">
        <v>82</v>
      </c>
      <c r="C20" s="13" t="s">
        <v>78</v>
      </c>
      <c r="D20" s="13" t="s">
        <v>83</v>
      </c>
      <c r="E20" s="5" t="str">
        <f aca="false">IFERROR(VLOOKUP(SUBSTITUTE(D20,"R-W","RNW"),선정표_실내기!$A:$C,1,FALSE()),"선정표에 없음")</f>
        <v>RNW0601A2U</v>
      </c>
      <c r="F20" s="14" t="str">
        <f aca="false">IF(E20="선정표에 없음","선정표에 없음",IF(D20=E20,"일치","표기차이(R-W↔RNW)"))</f>
        <v>표기차이(R-W↔RNW)</v>
      </c>
      <c r="G20" s="15" t="n">
        <v>6000</v>
      </c>
      <c r="H20" s="15" t="n">
        <f aca="false">IF(E20="선정표에 없음","",VLOOKUP(SUBSTITUTE(D20,"R-W","RNW"),선정표_실내기!$A:$C,2,FALSE()))</f>
        <v>6000</v>
      </c>
      <c r="I20" s="14" t="str">
        <f aca="false">IF(H20="","-",IF(G20=H20,"일치","불일치"))</f>
        <v>일치</v>
      </c>
      <c r="J20" s="15" t="n">
        <v>6800</v>
      </c>
      <c r="K20" s="15" t="n">
        <f aca="false">IF(E20="선정표에 없음","",VLOOKUP(SUBSTITUTE(D20,"R-W","RNW"),선정표_실내기!$A:$C,3,FALSE()))</f>
        <v>6800</v>
      </c>
      <c r="L20" s="14" t="str">
        <f aca="false">IF(K20="","-",IF(J20=K20,"일치","불일치"))</f>
        <v>일치</v>
      </c>
      <c r="M20" s="14" t="str">
        <f aca="false">IF(F20="선정표에 없음","선정표에 없음",IF(OR(I20="불일치",L20="불일치"),"용량 불일치",IF(F20="일치","일치","모델명 표기차이")))</f>
        <v>모델명 표기차이</v>
      </c>
      <c r="N20" s="5"/>
    </row>
    <row r="21" customFormat="false" ht="15" hidden="false" customHeight="false" outlineLevel="0" collapsed="false">
      <c r="A21" s="12" t="n">
        <v>18</v>
      </c>
      <c r="B21" s="12" t="s">
        <v>84</v>
      </c>
      <c r="C21" s="13" t="s">
        <v>78</v>
      </c>
      <c r="D21" s="13" t="s">
        <v>85</v>
      </c>
      <c r="E21" s="5" t="str">
        <f aca="false">IFERROR(VLOOKUP(SUBSTITUTE(D21,"R-W","RNW"),선정표_실내기!$A:$C,1,FALSE()),"선정표에 없음")</f>
        <v>RNW0721A2U</v>
      </c>
      <c r="F21" s="14" t="str">
        <f aca="false">IF(E21="선정표에 없음","선정표에 없음",IF(D21=E21,"일치","표기차이(R-W↔RNW)"))</f>
        <v>표기차이(R-W↔RNW)</v>
      </c>
      <c r="G21" s="15" t="n">
        <v>7200</v>
      </c>
      <c r="H21" s="15" t="n">
        <f aca="false">IF(E21="선정표에 없음","",VLOOKUP(SUBSTITUTE(D21,"R-W","RNW"),선정표_실내기!$A:$C,2,FALSE()))</f>
        <v>7200</v>
      </c>
      <c r="I21" s="14" t="str">
        <f aca="false">IF(H21="","-",IF(G21=H21,"일치","불일치"))</f>
        <v>일치</v>
      </c>
      <c r="J21" s="15" t="n">
        <v>8100</v>
      </c>
      <c r="K21" s="15" t="n">
        <f aca="false">IF(E21="선정표에 없음","",VLOOKUP(SUBSTITUTE(D21,"R-W","RNW"),선정표_실내기!$A:$C,3,FALSE()))</f>
        <v>8100</v>
      </c>
      <c r="L21" s="14" t="str">
        <f aca="false">IF(K21="","-",IF(J21=K21,"일치","불일치"))</f>
        <v>일치</v>
      </c>
      <c r="M21" s="14" t="str">
        <f aca="false">IF(F21="선정표에 없음","선정표에 없음",IF(OR(I21="불일치",L21="불일치"),"용량 불일치",IF(F21="일치","일치","모델명 표기차이")))</f>
        <v>모델명 표기차이</v>
      </c>
      <c r="N21" s="5"/>
    </row>
    <row r="22" customFormat="false" ht="15" hidden="false" customHeight="false" outlineLevel="0" collapsed="false">
      <c r="A22" s="12" t="n">
        <v>19</v>
      </c>
      <c r="B22" s="12" t="s">
        <v>86</v>
      </c>
      <c r="C22" s="13" t="s">
        <v>78</v>
      </c>
      <c r="D22" s="13" t="s">
        <v>87</v>
      </c>
      <c r="E22" s="5" t="str">
        <f aca="false">IFERROR(VLOOKUP(SUBSTITUTE(D22,"R-W","RNW"),선정표_실내기!$A:$C,1,FALSE()),"선정표에 없음")</f>
        <v>RNW0831A2U</v>
      </c>
      <c r="F22" s="14" t="str">
        <f aca="false">IF(E22="선정표에 없음","선정표에 없음",IF(D22=E22,"일치","표기차이(R-W↔RNW)"))</f>
        <v>표기차이(R-W↔RNW)</v>
      </c>
      <c r="G22" s="15" t="n">
        <v>8300</v>
      </c>
      <c r="H22" s="15" t="n">
        <f aca="false">IF(E22="선정표에 없음","",VLOOKUP(SUBSTITUTE(D22,"R-W","RNW"),선정표_실내기!$A:$C,2,FALSE()))</f>
        <v>8300</v>
      </c>
      <c r="I22" s="14" t="str">
        <f aca="false">IF(H22="","-",IF(G22=H22,"일치","불일치"))</f>
        <v>일치</v>
      </c>
      <c r="J22" s="15" t="n">
        <v>9300</v>
      </c>
      <c r="K22" s="15" t="n">
        <f aca="false">IF(E22="선정표에 없음","",VLOOKUP(SUBSTITUTE(D22,"R-W","RNW"),선정표_실내기!$A:$C,3,FALSE()))</f>
        <v>9300</v>
      </c>
      <c r="L22" s="14" t="str">
        <f aca="false">IF(K22="","-",IF(J22=K22,"일치","불일치"))</f>
        <v>일치</v>
      </c>
      <c r="M22" s="14" t="str">
        <f aca="false">IF(F22="선정표에 없음","선정표에 없음",IF(OR(I22="불일치",L22="불일치"),"용량 불일치",IF(F22="일치","일치","모델명 표기차이")))</f>
        <v>모델명 표기차이</v>
      </c>
      <c r="N22" s="5" t="s">
        <v>88</v>
      </c>
    </row>
    <row r="23" customFormat="false" ht="15" hidden="false" customHeight="false" outlineLevel="0" collapsed="false">
      <c r="A23" s="12" t="n">
        <v>20</v>
      </c>
      <c r="B23" s="12" t="s">
        <v>89</v>
      </c>
      <c r="C23" s="13" t="s">
        <v>78</v>
      </c>
      <c r="D23" s="13" t="s">
        <v>90</v>
      </c>
      <c r="E23" s="5" t="str">
        <f aca="false">IFERROR(VLOOKUP(SUBSTITUTE(D23,"R-W","RNW"),선정표_실내기!$A:$C,1,FALSE()),"선정표에 없음")</f>
        <v>RNW1001A2U</v>
      </c>
      <c r="F23" s="14" t="str">
        <f aca="false">IF(E23="선정표에 없음","선정표에 없음",IF(D23=E23,"일치","표기차이(R-W↔RNW)"))</f>
        <v>표기차이(R-W↔RNW)</v>
      </c>
      <c r="G23" s="15" t="n">
        <v>10000</v>
      </c>
      <c r="H23" s="15" t="n">
        <f aca="false">IF(E23="선정표에 없음","",VLOOKUP(SUBSTITUTE(D23,"R-W","RNW"),선정표_실내기!$A:$C,2,FALSE()))</f>
        <v>10000</v>
      </c>
      <c r="I23" s="14" t="str">
        <f aca="false">IF(H23="","-",IF(G23=H23,"일치","불일치"))</f>
        <v>일치</v>
      </c>
      <c r="J23" s="15" t="n">
        <v>11200</v>
      </c>
      <c r="K23" s="15" t="n">
        <f aca="false">IF(E23="선정표에 없음","",VLOOKUP(SUBSTITUTE(D23,"R-W","RNW"),선정표_실내기!$A:$C,3,FALSE()))</f>
        <v>11200</v>
      </c>
      <c r="L23" s="14" t="str">
        <f aca="false">IF(K23="","-",IF(J23=K23,"일치","불일치"))</f>
        <v>일치</v>
      </c>
      <c r="M23" s="14" t="str">
        <f aca="false">IF(F23="선정표에 없음","선정표에 없음",IF(OR(I23="불일치",L23="불일치"),"용량 불일치",IF(F23="일치","일치","모델명 표기차이")))</f>
        <v>모델명 표기차이</v>
      </c>
      <c r="N23" s="5"/>
    </row>
    <row r="24" customFormat="false" ht="15" hidden="false" customHeight="false" outlineLevel="0" collapsed="false">
      <c r="A24" s="12" t="n">
        <v>21</v>
      </c>
      <c r="B24" s="12" t="s">
        <v>91</v>
      </c>
      <c r="C24" s="13" t="s">
        <v>78</v>
      </c>
      <c r="D24" s="13" t="s">
        <v>92</v>
      </c>
      <c r="E24" s="5" t="str">
        <f aca="false">IFERROR(VLOOKUP(SUBSTITUTE(D24,"R-W","RNW"),선정표_실내기!$A:$C,1,FALSE()),"선정표에 없음")</f>
        <v>RNW1101A2U</v>
      </c>
      <c r="F24" s="14" t="str">
        <f aca="false">IF(E24="선정표에 없음","선정표에 없음",IF(D24=E24,"일치","표기차이(R-W↔RNW)"))</f>
        <v>표기차이(R-W↔RNW)</v>
      </c>
      <c r="G24" s="15" t="n">
        <v>11000</v>
      </c>
      <c r="H24" s="15" t="n">
        <f aca="false">IF(E24="선정표에 없음","",VLOOKUP(SUBSTITUTE(D24,"R-W","RNW"),선정표_실내기!$A:$C,2,FALSE()))</f>
        <v>11000</v>
      </c>
      <c r="I24" s="14" t="str">
        <f aca="false">IF(H24="","-",IF(G24=H24,"일치","불일치"))</f>
        <v>일치</v>
      </c>
      <c r="J24" s="15" t="n">
        <v>12400</v>
      </c>
      <c r="K24" s="15" t="n">
        <f aca="false">IF(E24="선정표에 없음","",VLOOKUP(SUBSTITUTE(D24,"R-W","RNW"),선정표_실내기!$A:$C,3,FALSE()))</f>
        <v>12400</v>
      </c>
      <c r="L24" s="14" t="str">
        <f aca="false">IF(K24="","-",IF(J24=K24,"일치","불일치"))</f>
        <v>일치</v>
      </c>
      <c r="M24" s="14" t="str">
        <f aca="false">IF(F24="선정표에 없음","선정표에 없음",IF(OR(I24="불일치",L24="불일치"),"용량 불일치",IF(F24="일치","일치","모델명 표기차이")))</f>
        <v>모델명 표기차이</v>
      </c>
      <c r="N24" s="5"/>
    </row>
    <row r="25" customFormat="false" ht="15" hidden="false" customHeight="false" outlineLevel="0" collapsed="false">
      <c r="A25" s="12" t="n">
        <v>22</v>
      </c>
      <c r="B25" s="12" t="s">
        <v>93</v>
      </c>
      <c r="C25" s="13" t="s">
        <v>78</v>
      </c>
      <c r="D25" s="13" t="s">
        <v>94</v>
      </c>
      <c r="E25" s="5" t="str">
        <f aca="false">IFERROR(VLOOKUP(SUBSTITUTE(D25,"R-W","RNW"),선정표_실내기!$A:$C,1,FALSE()),"선정표에 없음")</f>
        <v>RNW1301A2U</v>
      </c>
      <c r="F25" s="14" t="str">
        <f aca="false">IF(E25="선정표에 없음","선정표에 없음",IF(D25=E25,"일치","표기차이(R-W↔RNW)"))</f>
        <v>표기차이(R-W↔RNW)</v>
      </c>
      <c r="G25" s="15" t="n">
        <v>13000</v>
      </c>
      <c r="H25" s="15" t="n">
        <f aca="false">IF(E25="선정표에 없음","",VLOOKUP(SUBSTITUTE(D25,"R-W","RNW"),선정표_실내기!$A:$C,2,FALSE()))</f>
        <v>13000</v>
      </c>
      <c r="I25" s="14" t="str">
        <f aca="false">IF(H25="","-",IF(G25=H25,"일치","불일치"))</f>
        <v>일치</v>
      </c>
      <c r="J25" s="15" t="n">
        <v>14600</v>
      </c>
      <c r="K25" s="15" t="n">
        <f aca="false">IF(E25="선정표에 없음","",VLOOKUP(SUBSTITUTE(D25,"R-W","RNW"),선정표_실내기!$A:$C,3,FALSE()))</f>
        <v>14600</v>
      </c>
      <c r="L25" s="14" t="str">
        <f aca="false">IF(K25="","-",IF(J25=K25,"일치","불일치"))</f>
        <v>일치</v>
      </c>
      <c r="M25" s="14" t="str">
        <f aca="false">IF(F25="선정표에 없음","선정표에 없음",IF(OR(I25="불일치",L25="불일치"),"용량 불일치",IF(F25="일치","일치","모델명 표기차이")))</f>
        <v>모델명 표기차이</v>
      </c>
      <c r="N25" s="5"/>
    </row>
    <row r="26" customFormat="false" ht="15" hidden="false" customHeight="false" outlineLevel="0" collapsed="false">
      <c r="A26" s="12" t="n">
        <v>23</v>
      </c>
      <c r="B26" s="12" t="s">
        <v>95</v>
      </c>
      <c r="C26" s="13" t="s">
        <v>78</v>
      </c>
      <c r="D26" s="13" t="s">
        <v>96</v>
      </c>
      <c r="E26" s="5" t="str">
        <f aca="false">IFERROR(VLOOKUP(SUBSTITUTE(D26,"R-W","RNW"),선정표_실내기!$A:$C,1,FALSE()),"선정표에 없음")</f>
        <v>RNW1451A2U</v>
      </c>
      <c r="F26" s="14" t="str">
        <f aca="false">IF(E26="선정표에 없음","선정표에 없음",IF(D26=E26,"일치","표기차이(R-W↔RNW)"))</f>
        <v>표기차이(R-W↔RNW)</v>
      </c>
      <c r="G26" s="15" t="n">
        <v>14500</v>
      </c>
      <c r="H26" s="15" t="n">
        <f aca="false">IF(E26="선정표에 없음","",VLOOKUP(SUBSTITUTE(D26,"R-W","RNW"),선정표_실내기!$A:$C,2,FALSE()))</f>
        <v>14500</v>
      </c>
      <c r="I26" s="14" t="str">
        <f aca="false">IF(H26="","-",IF(G26=H26,"일치","불일치"))</f>
        <v>일치</v>
      </c>
      <c r="J26" s="15" t="n">
        <v>16300</v>
      </c>
      <c r="K26" s="15" t="n">
        <f aca="false">IF(E26="선정표에 없음","",VLOOKUP(SUBSTITUTE(D26,"R-W","RNW"),선정표_실내기!$A:$C,3,FALSE()))</f>
        <v>16300</v>
      </c>
      <c r="L26" s="14" t="str">
        <f aca="false">IF(K26="","-",IF(J26=K26,"일치","불일치"))</f>
        <v>일치</v>
      </c>
      <c r="M26" s="14" t="str">
        <f aca="false">IF(F26="선정표에 없음","선정표에 없음",IF(OR(I26="불일치",L26="불일치"),"용량 불일치",IF(F26="일치","일치","모델명 표기차이")))</f>
        <v>모델명 표기차이</v>
      </c>
      <c r="N26" s="5"/>
    </row>
    <row r="27" customFormat="false" ht="15" hidden="false" customHeight="false" outlineLevel="0" collapsed="false">
      <c r="A27" s="12" t="n">
        <v>24</v>
      </c>
      <c r="B27" s="12" t="s">
        <v>97</v>
      </c>
      <c r="C27" s="5" t="s">
        <v>98</v>
      </c>
      <c r="D27" s="13" t="s">
        <v>99</v>
      </c>
      <c r="E27" s="5" t="str">
        <f aca="false">IFERROR(VLOOKUP(SUBSTITUTE(D27,"R-W","RNW"),선정표_실내기!$A:$C,1,FALSE()),"선정표에 없음")</f>
        <v>RNW0230R2S</v>
      </c>
      <c r="F27" s="14" t="str">
        <f aca="false">IF(E27="선정표에 없음","선정표에 없음",IF(D27=E27,"일치","표기차이(R-W↔RNW)"))</f>
        <v>일치</v>
      </c>
      <c r="G27" s="15" t="n">
        <v>2300</v>
      </c>
      <c r="H27" s="15" t="n">
        <f aca="false">IF(E27="선정표에 없음","",VLOOKUP(SUBSTITUTE(D27,"R-W","RNW"),선정표_실내기!$A:$C,2,FALSE()))</f>
        <v>2300</v>
      </c>
      <c r="I27" s="14" t="str">
        <f aca="false">IF(H27="","-",IF(G27=H27,"일치","불일치"))</f>
        <v>일치</v>
      </c>
      <c r="J27" s="15" t="n">
        <v>2600</v>
      </c>
      <c r="K27" s="15" t="n">
        <f aca="false">IF(E27="선정표에 없음","",VLOOKUP(SUBSTITUTE(D27,"R-W","RNW"),선정표_실내기!$A:$C,3,FALSE()))</f>
        <v>2600</v>
      </c>
      <c r="L27" s="14" t="str">
        <f aca="false">IF(K27="","-",IF(J27=K27,"일치","불일치"))</f>
        <v>일치</v>
      </c>
      <c r="M27" s="14" t="str">
        <f aca="false">IF(F27="선정표에 없음","선정표에 없음",IF(OR(I27="불일치",L27="불일치"),"용량 불일치",IF(F27="일치","일치","모델명 표기차이")))</f>
        <v>일치</v>
      </c>
      <c r="N27" s="5"/>
    </row>
    <row r="28" customFormat="false" ht="15" hidden="false" customHeight="false" outlineLevel="0" collapsed="false">
      <c r="A28" s="12" t="n">
        <v>25</v>
      </c>
      <c r="B28" s="12" t="s">
        <v>100</v>
      </c>
      <c r="C28" s="5" t="s">
        <v>98</v>
      </c>
      <c r="D28" s="13" t="s">
        <v>101</v>
      </c>
      <c r="E28" s="5" t="str">
        <f aca="false">IFERROR(VLOOKUP(SUBSTITUTE(D28,"R-W","RNW"),선정표_실내기!$A:$C,1,FALSE()),"선정표에 없음")</f>
        <v>RNW0320R2S</v>
      </c>
      <c r="F28" s="14" t="str">
        <f aca="false">IF(E28="선정표에 없음","선정표에 없음",IF(D28=E28,"일치","표기차이(R-W↔RNW)"))</f>
        <v>일치</v>
      </c>
      <c r="G28" s="15" t="n">
        <v>3200</v>
      </c>
      <c r="H28" s="15" t="n">
        <f aca="false">IF(E28="선정표에 없음","",VLOOKUP(SUBSTITUTE(D28,"R-W","RNW"),선정표_실내기!$A:$C,2,FALSE()))</f>
        <v>3200</v>
      </c>
      <c r="I28" s="14" t="str">
        <f aca="false">IF(H28="","-",IF(G28=H28,"일치","불일치"))</f>
        <v>일치</v>
      </c>
      <c r="J28" s="15" t="n">
        <v>3600</v>
      </c>
      <c r="K28" s="15" t="n">
        <f aca="false">IF(E28="선정표에 없음","",VLOOKUP(SUBSTITUTE(D28,"R-W","RNW"),선정표_실내기!$A:$C,3,FALSE()))</f>
        <v>3600</v>
      </c>
      <c r="L28" s="14" t="str">
        <f aca="false">IF(K28="","-",IF(J28=K28,"일치","불일치"))</f>
        <v>일치</v>
      </c>
      <c r="M28" s="14" t="str">
        <f aca="false">IF(F28="선정표에 없음","선정표에 없음",IF(OR(I28="불일치",L28="불일치"),"용량 불일치",IF(F28="일치","일치","모델명 표기차이")))</f>
        <v>일치</v>
      </c>
      <c r="N28" s="5"/>
    </row>
    <row r="29" customFormat="false" ht="15" hidden="false" customHeight="false" outlineLevel="0" collapsed="false">
      <c r="A29" s="12" t="n">
        <v>26</v>
      </c>
      <c r="B29" s="12" t="s">
        <v>102</v>
      </c>
      <c r="C29" s="5" t="s">
        <v>98</v>
      </c>
      <c r="D29" s="13" t="s">
        <v>103</v>
      </c>
      <c r="E29" s="5" t="str">
        <f aca="false">IFERROR(VLOOKUP(SUBSTITUTE(D29,"R-W","RNW"),선정표_실내기!$A:$C,1,FALSE()),"선정표에 없음")</f>
        <v>RNW0400R2S</v>
      </c>
      <c r="F29" s="14" t="str">
        <f aca="false">IF(E29="선정표에 없음","선정표에 없음",IF(D29=E29,"일치","표기차이(R-W↔RNW)"))</f>
        <v>일치</v>
      </c>
      <c r="G29" s="15" t="n">
        <v>4000</v>
      </c>
      <c r="H29" s="15" t="n">
        <f aca="false">IF(E29="선정표에 없음","",VLOOKUP(SUBSTITUTE(D29,"R-W","RNW"),선정표_실내기!$A:$C,2,FALSE()))</f>
        <v>4000</v>
      </c>
      <c r="I29" s="14" t="str">
        <f aca="false">IF(H29="","-",IF(G29=H29,"일치","불일치"))</f>
        <v>일치</v>
      </c>
      <c r="J29" s="15" t="n">
        <v>4500</v>
      </c>
      <c r="K29" s="15" t="n">
        <f aca="false">IF(E29="선정표에 없음","",VLOOKUP(SUBSTITUTE(D29,"R-W","RNW"),선정표_실내기!$A:$C,3,FALSE()))</f>
        <v>4500</v>
      </c>
      <c r="L29" s="14" t="str">
        <f aca="false">IF(K29="","-",IF(J29=K29,"일치","불일치"))</f>
        <v>일치</v>
      </c>
      <c r="M29" s="14" t="str">
        <f aca="false">IF(F29="선정표에 없음","선정표에 없음",IF(OR(I29="불일치",L29="불일치"),"용량 불일치",IF(F29="일치","일치","모델명 표기차이")))</f>
        <v>일치</v>
      </c>
      <c r="N29" s="5"/>
    </row>
    <row r="30" customFormat="false" ht="15" hidden="false" customHeight="false" outlineLevel="0" collapsed="false">
      <c r="A30" s="12" t="n">
        <v>27</v>
      </c>
      <c r="B30" s="12" t="s">
        <v>104</v>
      </c>
      <c r="C30" s="5" t="s">
        <v>98</v>
      </c>
      <c r="D30" s="13" t="s">
        <v>105</v>
      </c>
      <c r="E30" s="5" t="str">
        <f aca="false">IFERROR(VLOOKUP(SUBSTITUTE(D30,"R-W","RNW"),선정표_실내기!$A:$C,1,FALSE()),"선정표에 없음")</f>
        <v>RNW0520R2S</v>
      </c>
      <c r="F30" s="14" t="str">
        <f aca="false">IF(E30="선정표에 없음","선정표에 없음",IF(D30=E30,"일치","표기차이(R-W↔RNW)"))</f>
        <v>일치</v>
      </c>
      <c r="G30" s="15" t="n">
        <v>5200</v>
      </c>
      <c r="H30" s="15" t="n">
        <f aca="false">IF(E30="선정표에 없음","",VLOOKUP(SUBSTITUTE(D30,"R-W","RNW"),선정표_실내기!$A:$C,2,FALSE()))</f>
        <v>5200</v>
      </c>
      <c r="I30" s="14" t="str">
        <f aca="false">IF(H30="","-",IF(G30=H30,"일치","불일치"))</f>
        <v>일치</v>
      </c>
      <c r="J30" s="15" t="n">
        <v>5900</v>
      </c>
      <c r="K30" s="15" t="n">
        <f aca="false">IF(E30="선정표에 없음","",VLOOKUP(SUBSTITUTE(D30,"R-W","RNW"),선정표_실내기!$A:$C,3,FALSE()))</f>
        <v>5900</v>
      </c>
      <c r="L30" s="14" t="str">
        <f aca="false">IF(K30="","-",IF(J30=K30,"일치","불일치"))</f>
        <v>일치</v>
      </c>
      <c r="M30" s="14" t="str">
        <f aca="false">IF(F30="선정표에 없음","선정표에 없음",IF(OR(I30="불일치",L30="불일치"),"용량 불일치",IF(F30="일치","일치","모델명 표기차이")))</f>
        <v>일치</v>
      </c>
      <c r="N30" s="5"/>
    </row>
    <row r="31" customFormat="false" ht="15" hidden="false" customHeight="false" outlineLevel="0" collapsed="false">
      <c r="A31" s="12" t="n">
        <v>28</v>
      </c>
      <c r="B31" s="12" t="s">
        <v>106</v>
      </c>
      <c r="C31" s="5" t="s">
        <v>107</v>
      </c>
      <c r="D31" s="13" t="s">
        <v>108</v>
      </c>
      <c r="E31" s="5" t="str">
        <f aca="false">IFERROR(VLOOKUP(SUBSTITUTE(D31,"R-W","RNW"),선정표_실내기!$A:$C,1,FALSE()),"선정표에 없음")</f>
        <v>RNW1450P2S</v>
      </c>
      <c r="F31" s="14" t="str">
        <f aca="false">IF(E31="선정표에 없음","선정표에 없음",IF(D31=E31,"일치","표기차이(R-W↔RNW)"))</f>
        <v>일치</v>
      </c>
      <c r="G31" s="15" t="n">
        <v>14500</v>
      </c>
      <c r="H31" s="15" t="n">
        <f aca="false">IF(E31="선정표에 없음","",VLOOKUP(SUBSTITUTE(D31,"R-W","RNW"),선정표_실내기!$A:$C,2,FALSE()))</f>
        <v>14500</v>
      </c>
      <c r="I31" s="14" t="str">
        <f aca="false">IF(H31="","-",IF(G31=H31,"일치","불일치"))</f>
        <v>일치</v>
      </c>
      <c r="J31" s="15" t="n">
        <v>16300</v>
      </c>
      <c r="K31" s="15" t="n">
        <f aca="false">IF(E31="선정표에 없음","",VLOOKUP(SUBSTITUTE(D31,"R-W","RNW"),선정표_실내기!$A:$C,3,FALSE()))</f>
        <v>16300</v>
      </c>
      <c r="L31" s="14" t="str">
        <f aca="false">IF(K31="","-",IF(J31=K31,"일치","불일치"))</f>
        <v>일치</v>
      </c>
      <c r="M31" s="14" t="str">
        <f aca="false">IF(F31="선정표에 없음","선정표에 없음",IF(OR(I31="불일치",L31="불일치"),"용량 불일치",IF(F31="일치","일치","모델명 표기차이")))</f>
        <v>일치</v>
      </c>
      <c r="N31" s="5"/>
    </row>
    <row r="32" customFormat="false" ht="15" hidden="false" customHeight="false" outlineLevel="0" collapsed="false">
      <c r="A32" s="12" t="n">
        <v>29</v>
      </c>
      <c r="B32" s="12" t="s">
        <v>109</v>
      </c>
      <c r="C32" s="5" t="s">
        <v>107</v>
      </c>
      <c r="D32" s="13" t="s">
        <v>110</v>
      </c>
      <c r="E32" s="5" t="str">
        <f aca="false">IFERROR(VLOOKUP(SUBSTITUTE(D32,"R-W","RNW"),선정표_실내기!$A:$C,1,FALSE()),"선정표에 없음")</f>
        <v>RNW2900P2S</v>
      </c>
      <c r="F32" s="14" t="str">
        <f aca="false">IF(E32="선정표에 없음","선정표에 없음",IF(D32=E32,"일치","표기차이(R-W↔RNW)"))</f>
        <v>일치</v>
      </c>
      <c r="G32" s="15" t="n">
        <v>29000</v>
      </c>
      <c r="H32" s="15" t="n">
        <f aca="false">IF(E32="선정표에 없음","",VLOOKUP(SUBSTITUTE(D32,"R-W","RNW"),선정표_실내기!$A:$C,2,FALSE()))</f>
        <v>29000</v>
      </c>
      <c r="I32" s="14" t="str">
        <f aca="false">IF(H32="","-",IF(G32=H32,"일치","불일치"))</f>
        <v>일치</v>
      </c>
      <c r="J32" s="15" t="n">
        <v>32600</v>
      </c>
      <c r="K32" s="15" t="n">
        <f aca="false">IF(E32="선정표에 없음","",VLOOKUP(SUBSTITUTE(D32,"R-W","RNW"),선정표_실내기!$A:$C,3,FALSE()))</f>
        <v>32600</v>
      </c>
      <c r="L32" s="14" t="str">
        <f aca="false">IF(K32="","-",IF(J32=K32,"일치","불일치"))</f>
        <v>일치</v>
      </c>
      <c r="M32" s="14" t="str">
        <f aca="false">IF(F32="선정표에 없음","선정표에 없음",IF(OR(I32="불일치",L32="불일치"),"용량 불일치",IF(F32="일치","일치","모델명 표기차이")))</f>
        <v>일치</v>
      </c>
      <c r="N32" s="5"/>
    </row>
    <row r="33" customFormat="false" ht="15" hidden="false" customHeight="false" outlineLevel="0" collapsed="false">
      <c r="A33" s="12" t="n">
        <v>30</v>
      </c>
      <c r="B33" s="12" t="s">
        <v>111</v>
      </c>
      <c r="C33" s="5" t="s">
        <v>112</v>
      </c>
      <c r="D33" s="13" t="s">
        <v>113</v>
      </c>
      <c r="E33" s="5" t="str">
        <f aca="false">IFERROR(VLOOKUP(SUBSTITUTE(D33,"R-W","RNW"),선정표_실내기!$A:$C,1,FALSE()),"선정표에 없음")</f>
        <v>RNW0521B2S</v>
      </c>
      <c r="F33" s="14" t="str">
        <f aca="false">IF(E33="선정표에 없음","선정표에 없음",IF(D33=E33,"일치","표기차이(R-W↔RNW)"))</f>
        <v>일치</v>
      </c>
      <c r="G33" s="15" t="n">
        <v>5200</v>
      </c>
      <c r="H33" s="15" t="n">
        <f aca="false">IF(E33="선정표에 없음","",VLOOKUP(SUBSTITUTE(D33,"R-W","RNW"),선정표_실내기!$A:$C,2,FALSE()))</f>
        <v>5200</v>
      </c>
      <c r="I33" s="14" t="str">
        <f aca="false">IF(H33="","-",IF(G33=H33,"일치","불일치"))</f>
        <v>일치</v>
      </c>
      <c r="J33" s="15" t="n">
        <v>6000</v>
      </c>
      <c r="K33" s="15" t="n">
        <f aca="false">IF(E33="선정표에 없음","",VLOOKUP(SUBSTITUTE(D33,"R-W","RNW"),선정표_실내기!$A:$C,3,FALSE()))</f>
        <v>6000</v>
      </c>
      <c r="L33" s="14" t="str">
        <f aca="false">IF(K33="","-",IF(J33=K33,"일치","불일치"))</f>
        <v>일치</v>
      </c>
      <c r="M33" s="14" t="str">
        <f aca="false">IF(F33="선정표에 없음","선정표에 없음",IF(OR(I33="불일치",L33="불일치"),"용량 불일치",IF(F33="일치","일치","모델명 표기차이")))</f>
        <v>일치</v>
      </c>
      <c r="N33" s="5"/>
    </row>
    <row r="34" customFormat="false" ht="15" hidden="false" customHeight="false" outlineLevel="0" collapsed="false">
      <c r="A34" s="12" t="n">
        <v>31</v>
      </c>
      <c r="B34" s="12" t="s">
        <v>114</v>
      </c>
      <c r="C34" s="5" t="s">
        <v>112</v>
      </c>
      <c r="D34" s="13" t="s">
        <v>115</v>
      </c>
      <c r="E34" s="5" t="str">
        <f aca="false">IFERROR(VLOOKUP(SUBSTITUTE(D34,"R-W","RNW"),선정표_실내기!$A:$C,1,FALSE()),"선정표에 없음")</f>
        <v>RNW0601B2S</v>
      </c>
      <c r="F34" s="14" t="str">
        <f aca="false">IF(E34="선정표에 없음","선정표에 없음",IF(D34=E34,"일치","표기차이(R-W↔RNW)"))</f>
        <v>일치</v>
      </c>
      <c r="G34" s="15" t="n">
        <v>6000</v>
      </c>
      <c r="H34" s="15" t="n">
        <f aca="false">IF(E34="선정표에 없음","",VLOOKUP(SUBSTITUTE(D34,"R-W","RNW"),선정표_실내기!$A:$C,2,FALSE()))</f>
        <v>6000</v>
      </c>
      <c r="I34" s="14" t="str">
        <f aca="false">IF(H34="","-",IF(G34=H34,"일치","불일치"))</f>
        <v>일치</v>
      </c>
      <c r="J34" s="15" t="n">
        <v>6600</v>
      </c>
      <c r="K34" s="15" t="n">
        <f aca="false">IF(E34="선정표에 없음","",VLOOKUP(SUBSTITUTE(D34,"R-W","RNW"),선정표_실내기!$A:$C,3,FALSE()))</f>
        <v>6800</v>
      </c>
      <c r="L34" s="14" t="str">
        <f aca="false">IF(K34="","-",IF(J34=K34,"일치","불일치"))</f>
        <v>불일치</v>
      </c>
      <c r="M34" s="14" t="str">
        <f aca="false">IF(F34="선정표에 없음","선정표에 없음",IF(OR(I34="불일치",L34="불일치"),"용량 불일치",IF(F34="일치","일치","모델명 표기차이")))</f>
        <v>용량 불일치</v>
      </c>
      <c r="N34" s="5" t="s">
        <v>48</v>
      </c>
    </row>
    <row r="35" customFormat="false" ht="15" hidden="false" customHeight="false" outlineLevel="0" collapsed="false">
      <c r="A35" s="12" t="n">
        <v>32</v>
      </c>
      <c r="B35" s="12" t="s">
        <v>116</v>
      </c>
      <c r="C35" s="5" t="s">
        <v>112</v>
      </c>
      <c r="D35" s="13" t="s">
        <v>117</v>
      </c>
      <c r="E35" s="5" t="str">
        <f aca="false">IFERROR(VLOOKUP(SUBSTITUTE(D35,"R-W","RNW"),선정표_실내기!$A:$C,1,FALSE()),"선정표에 없음")</f>
        <v>RNW0721B2S</v>
      </c>
      <c r="F35" s="14" t="str">
        <f aca="false">IF(E35="선정표에 없음","선정표에 없음",IF(D35=E35,"일치","표기차이(R-W↔RNW)"))</f>
        <v>일치</v>
      </c>
      <c r="G35" s="15" t="n">
        <v>7200</v>
      </c>
      <c r="H35" s="15" t="n">
        <f aca="false">IF(E35="선정표에 없음","",VLOOKUP(SUBSTITUTE(D35,"R-W","RNW"),선정표_실내기!$A:$C,2,FALSE()))</f>
        <v>7200</v>
      </c>
      <c r="I35" s="14" t="str">
        <f aca="false">IF(H35="","-",IF(G35=H35,"일치","불일치"))</f>
        <v>일치</v>
      </c>
      <c r="J35" s="15" t="n">
        <v>8000</v>
      </c>
      <c r="K35" s="15" t="n">
        <f aca="false">IF(E35="선정표에 없음","",VLOOKUP(SUBSTITUTE(D35,"R-W","RNW"),선정표_실내기!$A:$C,3,FALSE()))</f>
        <v>8000</v>
      </c>
      <c r="L35" s="14" t="str">
        <f aca="false">IF(K35="","-",IF(J35=K35,"일치","불일치"))</f>
        <v>일치</v>
      </c>
      <c r="M35" s="14" t="str">
        <f aca="false">IF(F35="선정표에 없음","선정표에 없음",IF(OR(I35="불일치",L35="불일치"),"용량 불일치",IF(F35="일치","일치","모델명 표기차이")))</f>
        <v>일치</v>
      </c>
      <c r="N35" s="5"/>
    </row>
    <row r="36" customFormat="false" ht="15" hidden="false" customHeight="false" outlineLevel="0" collapsed="false">
      <c r="A36" s="12" t="n">
        <v>33</v>
      </c>
      <c r="B36" s="12" t="s">
        <v>118</v>
      </c>
      <c r="C36" s="5" t="s">
        <v>112</v>
      </c>
      <c r="D36" s="13" t="s">
        <v>119</v>
      </c>
      <c r="E36" s="5" t="str">
        <f aca="false">IFERROR(VLOOKUP(SUBSTITUTE(D36,"R-W","RNW"),선정표_실내기!$A:$C,1,FALSE()),"선정표에 없음")</f>
        <v>RNW0831B2S</v>
      </c>
      <c r="F36" s="14" t="str">
        <f aca="false">IF(E36="선정표에 없음","선정표에 없음",IF(D36=E36,"일치","표기차이(R-W↔RNW)"))</f>
        <v>일치</v>
      </c>
      <c r="G36" s="15" t="n">
        <v>8300</v>
      </c>
      <c r="H36" s="15" t="n">
        <f aca="false">IF(E36="선정표에 없음","",VLOOKUP(SUBSTITUTE(D36,"R-W","RNW"),선정표_실내기!$A:$C,2,FALSE()))</f>
        <v>8300</v>
      </c>
      <c r="I36" s="14" t="str">
        <f aca="false">IF(H36="","-",IF(G36=H36,"일치","불일치"))</f>
        <v>일치</v>
      </c>
      <c r="J36" s="15" t="n">
        <v>9300</v>
      </c>
      <c r="K36" s="15" t="n">
        <f aca="false">IF(E36="선정표에 없음","",VLOOKUP(SUBSTITUTE(D36,"R-W","RNW"),선정표_실내기!$A:$C,3,FALSE()))</f>
        <v>9300</v>
      </c>
      <c r="L36" s="14" t="str">
        <f aca="false">IF(K36="","-",IF(J36=K36,"일치","불일치"))</f>
        <v>일치</v>
      </c>
      <c r="M36" s="14" t="str">
        <f aca="false">IF(F36="선정표에 없음","선정표에 없음",IF(OR(I36="불일치",L36="불일치"),"용량 불일치",IF(F36="일치","일치","모델명 표기차이")))</f>
        <v>일치</v>
      </c>
      <c r="N36" s="5"/>
    </row>
    <row r="37" customFormat="false" ht="15" hidden="false" customHeight="false" outlineLevel="0" collapsed="false">
      <c r="A37" s="12" t="n">
        <v>34</v>
      </c>
      <c r="B37" s="12" t="s">
        <v>120</v>
      </c>
      <c r="C37" s="5" t="s">
        <v>112</v>
      </c>
      <c r="D37" s="13" t="s">
        <v>121</v>
      </c>
      <c r="E37" s="5" t="str">
        <f aca="false">IFERROR(VLOOKUP(SUBSTITUTE(D37,"R-W","RNW"),선정표_실내기!$A:$C,1,FALSE()),"선정표에 없음")</f>
        <v>RNW1001B2S</v>
      </c>
      <c r="F37" s="14" t="str">
        <f aca="false">IF(E37="선정표에 없음","선정표에 없음",IF(D37=E37,"일치","표기차이(R-W↔RNW)"))</f>
        <v>일치</v>
      </c>
      <c r="G37" s="15" t="n">
        <v>10000</v>
      </c>
      <c r="H37" s="15" t="n">
        <f aca="false">IF(E37="선정표에 없음","",VLOOKUP(SUBSTITUTE(D37,"R-W","RNW"),선정표_실내기!$A:$C,2,FALSE()))</f>
        <v>10000</v>
      </c>
      <c r="I37" s="14" t="str">
        <f aca="false">IF(H37="","-",IF(G37=H37,"일치","불일치"))</f>
        <v>일치</v>
      </c>
      <c r="J37" s="15" t="n">
        <v>11200</v>
      </c>
      <c r="K37" s="15" t="n">
        <f aca="false">IF(E37="선정표에 없음","",VLOOKUP(SUBSTITUTE(D37,"R-W","RNW"),선정표_실내기!$A:$C,3,FALSE()))</f>
        <v>11200</v>
      </c>
      <c r="L37" s="14" t="str">
        <f aca="false">IF(K37="","-",IF(J37=K37,"일치","불일치"))</f>
        <v>일치</v>
      </c>
      <c r="M37" s="14" t="str">
        <f aca="false">IF(F37="선정표에 없음","선정표에 없음",IF(OR(I37="불일치",L37="불일치"),"용량 불일치",IF(F37="일치","일치","모델명 표기차이")))</f>
        <v>일치</v>
      </c>
      <c r="N37" s="5"/>
    </row>
    <row r="38" customFormat="false" ht="15" hidden="false" customHeight="false" outlineLevel="0" collapsed="false">
      <c r="A38" s="12" t="n">
        <v>35</v>
      </c>
      <c r="B38" s="12" t="s">
        <v>122</v>
      </c>
      <c r="C38" s="5" t="s">
        <v>112</v>
      </c>
      <c r="D38" s="13" t="s">
        <v>123</v>
      </c>
      <c r="E38" s="5" t="str">
        <f aca="false">IFERROR(VLOOKUP(SUBSTITUTE(D38,"R-W","RNW"),선정표_실내기!$A:$C,1,FALSE()),"선정표에 없음")</f>
        <v>RNW1101B2S</v>
      </c>
      <c r="F38" s="14" t="str">
        <f aca="false">IF(E38="선정표에 없음","선정표에 없음",IF(D38=E38,"일치","표기차이(R-W↔RNW)"))</f>
        <v>일치</v>
      </c>
      <c r="G38" s="15" t="n">
        <v>11000</v>
      </c>
      <c r="H38" s="15" t="n">
        <f aca="false">IF(E38="선정표에 없음","",VLOOKUP(SUBSTITUTE(D38,"R-W","RNW"),선정표_실내기!$A:$C,2,FALSE()))</f>
        <v>11000</v>
      </c>
      <c r="I38" s="14" t="str">
        <f aca="false">IF(H38="","-",IF(G38=H38,"일치","불일치"))</f>
        <v>일치</v>
      </c>
      <c r="J38" s="15" t="n">
        <v>12400</v>
      </c>
      <c r="K38" s="15" t="n">
        <f aca="false">IF(E38="선정표에 없음","",VLOOKUP(SUBSTITUTE(D38,"R-W","RNW"),선정표_실내기!$A:$C,3,FALSE()))</f>
        <v>12400</v>
      </c>
      <c r="L38" s="14" t="str">
        <f aca="false">IF(K38="","-",IF(J38=K38,"일치","불일치"))</f>
        <v>일치</v>
      </c>
      <c r="M38" s="14" t="str">
        <f aca="false">IF(F38="선정표에 없음","선정표에 없음",IF(OR(I38="불일치",L38="불일치"),"용량 불일치",IF(F38="일치","일치","모델명 표기차이")))</f>
        <v>일치</v>
      </c>
      <c r="N38" s="5"/>
    </row>
    <row r="39" customFormat="false" ht="15" hidden="false" customHeight="false" outlineLevel="0" collapsed="false">
      <c r="A39" s="12" t="n">
        <v>36</v>
      </c>
      <c r="B39" s="12" t="s">
        <v>124</v>
      </c>
      <c r="C39" s="5" t="s">
        <v>112</v>
      </c>
      <c r="D39" s="13" t="s">
        <v>125</v>
      </c>
      <c r="E39" s="5" t="str">
        <f aca="false">IFERROR(VLOOKUP(SUBSTITUTE(D39,"R-W","RNW"),선정표_실내기!$A:$C,1,FALSE()),"선정표에 없음")</f>
        <v>RNW1301B2S</v>
      </c>
      <c r="F39" s="14" t="str">
        <f aca="false">IF(E39="선정표에 없음","선정표에 없음",IF(D39=E39,"일치","표기차이(R-W↔RNW)"))</f>
        <v>일치</v>
      </c>
      <c r="G39" s="15" t="n">
        <v>13000</v>
      </c>
      <c r="H39" s="15" t="n">
        <f aca="false">IF(E39="선정표에 없음","",VLOOKUP(SUBSTITUTE(D39,"R-W","RNW"),선정표_실내기!$A:$C,2,FALSE()))</f>
        <v>13000</v>
      </c>
      <c r="I39" s="14" t="str">
        <f aca="false">IF(H39="","-",IF(G39=H39,"일치","불일치"))</f>
        <v>일치</v>
      </c>
      <c r="J39" s="15" t="n">
        <v>14600</v>
      </c>
      <c r="K39" s="15" t="n">
        <f aca="false">IF(E39="선정표에 없음","",VLOOKUP(SUBSTITUTE(D39,"R-W","RNW"),선정표_실내기!$A:$C,3,FALSE()))</f>
        <v>14600</v>
      </c>
      <c r="L39" s="14" t="str">
        <f aca="false">IF(K39="","-",IF(J39=K39,"일치","불일치"))</f>
        <v>일치</v>
      </c>
      <c r="M39" s="14" t="str">
        <f aca="false">IF(F39="선정표에 없음","선정표에 없음",IF(OR(I39="불일치",L39="불일치"),"용량 불일치",IF(F39="일치","일치","모델명 표기차이")))</f>
        <v>일치</v>
      </c>
      <c r="N39" s="5"/>
    </row>
    <row r="40" customFormat="false" ht="15" hidden="false" customHeight="false" outlineLevel="0" collapsed="false">
      <c r="A40" s="12" t="n">
        <v>37</v>
      </c>
      <c r="B40" s="12" t="s">
        <v>126</v>
      </c>
      <c r="C40" s="5" t="s">
        <v>112</v>
      </c>
      <c r="D40" s="13" t="s">
        <v>127</v>
      </c>
      <c r="E40" s="5" t="str">
        <f aca="false">IFERROR(VLOOKUP(SUBSTITUTE(D40,"R-W","RNW"),선정표_실내기!$A:$C,1,FALSE()),"선정표에 없음")</f>
        <v>RNW1451B2S</v>
      </c>
      <c r="F40" s="14" t="str">
        <f aca="false">IF(E40="선정표에 없음","선정표에 없음",IF(D40=E40,"일치","표기차이(R-W↔RNW)"))</f>
        <v>일치</v>
      </c>
      <c r="G40" s="15" t="n">
        <v>14500</v>
      </c>
      <c r="H40" s="15" t="n">
        <f aca="false">IF(E40="선정표에 없음","",VLOOKUP(SUBSTITUTE(D40,"R-W","RNW"),선정표_실내기!$A:$C,2,FALSE()))</f>
        <v>14500</v>
      </c>
      <c r="I40" s="14" t="str">
        <f aca="false">IF(H40="","-",IF(G40=H40,"일치","불일치"))</f>
        <v>일치</v>
      </c>
      <c r="J40" s="15" t="n">
        <v>16300</v>
      </c>
      <c r="K40" s="15" t="n">
        <f aca="false">IF(E40="선정표에 없음","",VLOOKUP(SUBSTITUTE(D40,"R-W","RNW"),선정표_실내기!$A:$C,3,FALSE()))</f>
        <v>16300</v>
      </c>
      <c r="L40" s="14" t="str">
        <f aca="false">IF(K40="","-",IF(J40=K40,"일치","불일치"))</f>
        <v>일치</v>
      </c>
      <c r="M40" s="14" t="str">
        <f aca="false">IF(F40="선정표에 없음","선정표에 없음",IF(OR(I40="불일치",L40="불일치"),"용량 불일치",IF(F40="일치","일치","모델명 표기차이")))</f>
        <v>일치</v>
      </c>
      <c r="N40" s="5"/>
    </row>
    <row r="41" customFormat="false" ht="15" hidden="false" customHeight="false" outlineLevel="0" collapsed="false">
      <c r="A41" s="12" t="n">
        <v>38</v>
      </c>
      <c r="B41" s="12" t="s">
        <v>128</v>
      </c>
      <c r="C41" s="5" t="s">
        <v>129</v>
      </c>
      <c r="D41" s="13" t="s">
        <v>130</v>
      </c>
      <c r="E41" s="5" t="str">
        <f aca="false">IFERROR(VLOOKUP(SUBSTITUTE(D41,"R-W","RNW"),선정표_실내기!$A:$C,1,FALSE()),"선정표에 없음")</f>
        <v>RNW2300B2S</v>
      </c>
      <c r="F41" s="14" t="str">
        <f aca="false">IF(E41="선정표에 없음","선정표에 없음",IF(D41=E41,"일치","표기차이(R-W↔RNW)"))</f>
        <v>일치</v>
      </c>
      <c r="G41" s="15" t="n">
        <v>23000</v>
      </c>
      <c r="H41" s="15" t="n">
        <f aca="false">IF(E41="선정표에 없음","",VLOOKUP(SUBSTITUTE(D41,"R-W","RNW"),선정표_실내기!$A:$C,2,FALSE()))</f>
        <v>23000</v>
      </c>
      <c r="I41" s="14" t="str">
        <f aca="false">IF(H41="","-",IF(G41=H41,"일치","불일치"))</f>
        <v>일치</v>
      </c>
      <c r="J41" s="15" t="n">
        <v>25900</v>
      </c>
      <c r="K41" s="15" t="n">
        <f aca="false">IF(E41="선정표에 없음","",VLOOKUP(SUBSTITUTE(D41,"R-W","RNW"),선정표_실내기!$A:$C,3,FALSE()))</f>
        <v>25900</v>
      </c>
      <c r="L41" s="14" t="str">
        <f aca="false">IF(K41="","-",IF(J41=K41,"일치","불일치"))</f>
        <v>일치</v>
      </c>
      <c r="M41" s="14" t="str">
        <f aca="false">IF(F41="선정표에 없음","선정표에 없음",IF(OR(I41="불일치",L41="불일치"),"용량 불일치",IF(F41="일치","일치","모델명 표기차이")))</f>
        <v>일치</v>
      </c>
      <c r="N41" s="5"/>
    </row>
    <row r="42" customFormat="false" ht="15" hidden="false" customHeight="false" outlineLevel="0" collapsed="false">
      <c r="A42" s="12" t="n">
        <v>39</v>
      </c>
      <c r="B42" s="12" t="s">
        <v>131</v>
      </c>
      <c r="C42" s="5" t="s">
        <v>129</v>
      </c>
      <c r="D42" s="13" t="s">
        <v>132</v>
      </c>
      <c r="E42" s="5" t="str">
        <f aca="false">IFERROR(VLOOKUP(SUBSTITUTE(D42,"R-W","RNW"),선정표_실내기!$A:$C,1,FALSE()),"선정표에 없음")</f>
        <v>RNW2900B2S</v>
      </c>
      <c r="F42" s="14" t="str">
        <f aca="false">IF(E42="선정표에 없음","선정표에 없음",IF(D42=E42,"일치","표기차이(R-W↔RNW)"))</f>
        <v>일치</v>
      </c>
      <c r="G42" s="15" t="n">
        <v>29000</v>
      </c>
      <c r="H42" s="15" t="n">
        <f aca="false">IF(E42="선정표에 없음","",VLOOKUP(SUBSTITUTE(D42,"R-W","RNW"),선정표_실내기!$A:$C,2,FALSE()))</f>
        <v>29000</v>
      </c>
      <c r="I42" s="14" t="str">
        <f aca="false">IF(H42="","-",IF(G42=H42,"일치","불일치"))</f>
        <v>일치</v>
      </c>
      <c r="J42" s="15" t="n">
        <v>32600</v>
      </c>
      <c r="K42" s="15" t="n">
        <f aca="false">IF(E42="선정표에 없음","",VLOOKUP(SUBSTITUTE(D42,"R-W","RNW"),선정표_실내기!$A:$C,3,FALSE()))</f>
        <v>32600</v>
      </c>
      <c r="L42" s="14" t="str">
        <f aca="false">IF(K42="","-",IF(J42=K42,"일치","불일치"))</f>
        <v>일치</v>
      </c>
      <c r="M42" s="14" t="str">
        <f aca="false">IF(F42="선정표에 없음","선정표에 없음",IF(OR(I42="불일치",L42="불일치"),"용량 불일치",IF(F42="일치","일치","모델명 표기차이")))</f>
        <v>일치</v>
      </c>
      <c r="N42" s="5"/>
    </row>
    <row r="43" customFormat="false" ht="15" hidden="false" customHeight="false" outlineLevel="0" collapsed="false">
      <c r="A43" s="12" t="n">
        <v>40</v>
      </c>
      <c r="B43" s="12" t="s">
        <v>133</v>
      </c>
      <c r="C43" s="5" t="s">
        <v>134</v>
      </c>
      <c r="D43" s="13" t="s">
        <v>135</v>
      </c>
      <c r="E43" s="5" t="str">
        <f aca="false">IFERROR(VLOOKUP(SUBSTITUTE(D43,"R-W","RNW"),선정표_실내기!$A:$C,1,FALSE()),"선정표에 없음")</f>
        <v>RNW0230L2S</v>
      </c>
      <c r="F43" s="14" t="str">
        <f aca="false">IF(E43="선정표에 없음","선정표에 없음",IF(D43=E43,"일치","표기차이(R-W↔RNW)"))</f>
        <v>일치</v>
      </c>
      <c r="G43" s="15" t="n">
        <v>2300</v>
      </c>
      <c r="H43" s="15" t="n">
        <f aca="false">IF(E43="선정표에 없음","",VLOOKUP(SUBSTITUTE(D43,"R-W","RNW"),선정표_실내기!$A:$C,2,FALSE()))</f>
        <v>2300</v>
      </c>
      <c r="I43" s="14" t="str">
        <f aca="false">IF(H43="","-",IF(G43=H43,"일치","불일치"))</f>
        <v>일치</v>
      </c>
      <c r="J43" s="15" t="n">
        <v>2600</v>
      </c>
      <c r="K43" s="15" t="n">
        <f aca="false">IF(E43="선정표에 없음","",VLOOKUP(SUBSTITUTE(D43,"R-W","RNW"),선정표_실내기!$A:$C,3,FALSE()))</f>
        <v>2600</v>
      </c>
      <c r="L43" s="14" t="str">
        <f aca="false">IF(K43="","-",IF(J43=K43,"일치","불일치"))</f>
        <v>일치</v>
      </c>
      <c r="M43" s="14" t="str">
        <f aca="false">IF(F43="선정표에 없음","선정표에 없음",IF(OR(I43="불일치",L43="불일치"),"용량 불일치",IF(F43="일치","일치","모델명 표기차이")))</f>
        <v>일치</v>
      </c>
      <c r="N43" s="5"/>
    </row>
    <row r="44" customFormat="false" ht="15" hidden="false" customHeight="false" outlineLevel="0" collapsed="false">
      <c r="A44" s="12" t="n">
        <v>41</v>
      </c>
      <c r="B44" s="12" t="s">
        <v>136</v>
      </c>
      <c r="C44" s="5" t="s">
        <v>134</v>
      </c>
      <c r="D44" s="13" t="s">
        <v>137</v>
      </c>
      <c r="E44" s="5" t="str">
        <f aca="false">IFERROR(VLOOKUP(SUBSTITUTE(D44,"R-W","RNW"),선정표_실내기!$A:$C,1,FALSE()),"선정표에 없음")</f>
        <v>RNW0320L2S</v>
      </c>
      <c r="F44" s="14" t="str">
        <f aca="false">IF(E44="선정표에 없음","선정표에 없음",IF(D44=E44,"일치","표기차이(R-W↔RNW)"))</f>
        <v>일치</v>
      </c>
      <c r="G44" s="15" t="n">
        <v>3200</v>
      </c>
      <c r="H44" s="15" t="n">
        <f aca="false">IF(E44="선정표에 없음","",VLOOKUP(SUBSTITUTE(D44,"R-W","RNW"),선정표_실내기!$A:$C,2,FALSE()))</f>
        <v>3200</v>
      </c>
      <c r="I44" s="14" t="str">
        <f aca="false">IF(H44="","-",IF(G44=H44,"일치","불일치"))</f>
        <v>일치</v>
      </c>
      <c r="J44" s="15" t="n">
        <v>3600</v>
      </c>
      <c r="K44" s="15" t="n">
        <f aca="false">IF(E44="선정표에 없음","",VLOOKUP(SUBSTITUTE(D44,"R-W","RNW"),선정표_실내기!$A:$C,3,FALSE()))</f>
        <v>3600</v>
      </c>
      <c r="L44" s="14" t="str">
        <f aca="false">IF(K44="","-",IF(J44=K44,"일치","불일치"))</f>
        <v>일치</v>
      </c>
      <c r="M44" s="14" t="str">
        <f aca="false">IF(F44="선정표에 없음","선정표에 없음",IF(OR(I44="불일치",L44="불일치"),"용량 불일치",IF(F44="일치","일치","모델명 표기차이")))</f>
        <v>일치</v>
      </c>
      <c r="N44" s="5"/>
    </row>
    <row r="45" customFormat="false" ht="15" hidden="false" customHeight="false" outlineLevel="0" collapsed="false">
      <c r="A45" s="12" t="n">
        <v>42</v>
      </c>
      <c r="B45" s="12" t="s">
        <v>138</v>
      </c>
      <c r="C45" s="5" t="s">
        <v>134</v>
      </c>
      <c r="D45" s="13" t="s">
        <v>139</v>
      </c>
      <c r="E45" s="5" t="str">
        <f aca="false">IFERROR(VLOOKUP(SUBSTITUTE(D45,"R-W","RNW"),선정표_실내기!$A:$C,1,FALSE()),"선정표에 없음")</f>
        <v>RNW0400L2S</v>
      </c>
      <c r="F45" s="14" t="str">
        <f aca="false">IF(E45="선정표에 없음","선정표에 없음",IF(D45=E45,"일치","표기차이(R-W↔RNW)"))</f>
        <v>일치</v>
      </c>
      <c r="G45" s="15" t="n">
        <v>4000</v>
      </c>
      <c r="H45" s="15" t="n">
        <f aca="false">IF(E45="선정표에 없음","",VLOOKUP(SUBSTITUTE(D45,"R-W","RNW"),선정표_실내기!$A:$C,2,FALSE()))</f>
        <v>4000</v>
      </c>
      <c r="I45" s="14" t="str">
        <f aca="false">IF(H45="","-",IF(G45=H45,"일치","불일치"))</f>
        <v>일치</v>
      </c>
      <c r="J45" s="15" t="n">
        <v>4500</v>
      </c>
      <c r="K45" s="15" t="n">
        <f aca="false">IF(E45="선정표에 없음","",VLOOKUP(SUBSTITUTE(D45,"R-W","RNW"),선정표_실내기!$A:$C,3,FALSE()))</f>
        <v>4500</v>
      </c>
      <c r="L45" s="14" t="str">
        <f aca="false">IF(K45="","-",IF(J45=K45,"일치","불일치"))</f>
        <v>일치</v>
      </c>
      <c r="M45" s="14" t="str">
        <f aca="false">IF(F45="선정표에 없음","선정표에 없음",IF(OR(I45="불일치",L45="불일치"),"용량 불일치",IF(F45="일치","일치","모델명 표기차이")))</f>
        <v>일치</v>
      </c>
      <c r="N45" s="5"/>
    </row>
    <row r="46" customFormat="false" ht="15" hidden="false" customHeight="false" outlineLevel="0" collapsed="false">
      <c r="A46" s="12" t="n">
        <v>43</v>
      </c>
      <c r="B46" s="12" t="s">
        <v>140</v>
      </c>
      <c r="C46" s="5" t="s">
        <v>141</v>
      </c>
      <c r="D46" s="13" t="s">
        <v>142</v>
      </c>
      <c r="E46" s="5" t="str">
        <f aca="false">IFERROR(VLOOKUP(SUBSTITUTE(D46,"R-W","RNW"),선정표_실내기!$A:$C,1,FALSE()),"선정표에 없음")</f>
        <v>RNW0720S2Y</v>
      </c>
      <c r="F46" s="14" t="str">
        <f aca="false">IF(E46="선정표에 없음","선정표에 없음",IF(D46=E46,"일치","표기차이(R-W↔RNW)"))</f>
        <v>일치</v>
      </c>
      <c r="G46" s="15" t="n">
        <v>7200</v>
      </c>
      <c r="H46" s="15" t="n">
        <f aca="false">IF(E46="선정표에 없음","",VLOOKUP(SUBSTITUTE(D46,"R-W","RNW"),선정표_실내기!$A:$C,2,FALSE()))</f>
        <v>7200</v>
      </c>
      <c r="I46" s="14" t="str">
        <f aca="false">IF(H46="","-",IF(G46=H46,"일치","불일치"))</f>
        <v>일치</v>
      </c>
      <c r="J46" s="15" t="n">
        <v>8100</v>
      </c>
      <c r="K46" s="15" t="n">
        <f aca="false">IF(E46="선정표에 없음","",VLOOKUP(SUBSTITUTE(D46,"R-W","RNW"),선정표_실내기!$A:$C,3,FALSE()))</f>
        <v>8100</v>
      </c>
      <c r="L46" s="14" t="str">
        <f aca="false">IF(K46="","-",IF(J46=K46,"일치","불일치"))</f>
        <v>일치</v>
      </c>
      <c r="M46" s="14" t="str">
        <f aca="false">IF(F46="선정표에 없음","선정표에 없음",IF(OR(I46="불일치",L46="불일치"),"용량 불일치",IF(F46="일치","일치","모델명 표기차이")))</f>
        <v>일치</v>
      </c>
      <c r="N46" s="5"/>
    </row>
    <row r="47" customFormat="false" ht="15" hidden="false" customHeight="false" outlineLevel="0" collapsed="false">
      <c r="A47" s="12" t="n">
        <v>44</v>
      </c>
      <c r="B47" s="12" t="s">
        <v>143</v>
      </c>
      <c r="C47" s="5" t="s">
        <v>141</v>
      </c>
      <c r="D47" s="13" t="s">
        <v>144</v>
      </c>
      <c r="E47" s="5" t="str">
        <f aca="false">IFERROR(VLOOKUP(SUBSTITUTE(D47,"R-W","RNW"),선정표_실내기!$A:$C,1,FALSE()),"선정표에 없음")</f>
        <v>RNW0830S2Y</v>
      </c>
      <c r="F47" s="14" t="str">
        <f aca="false">IF(E47="선정표에 없음","선정표에 없음",IF(D47=E47,"일치","표기차이(R-W↔RNW)"))</f>
        <v>일치</v>
      </c>
      <c r="G47" s="15" t="n">
        <v>8300</v>
      </c>
      <c r="H47" s="15" t="n">
        <f aca="false">IF(E47="선정표에 없음","",VLOOKUP(SUBSTITUTE(D47,"R-W","RNW"),선정표_실내기!$A:$C,2,FALSE()))</f>
        <v>8300</v>
      </c>
      <c r="I47" s="14" t="str">
        <f aca="false">IF(H47="","-",IF(G47=H47,"일치","불일치"))</f>
        <v>일치</v>
      </c>
      <c r="J47" s="15" t="n">
        <v>9300</v>
      </c>
      <c r="K47" s="15" t="n">
        <f aca="false">IF(E47="선정표에 없음","",VLOOKUP(SUBSTITUTE(D47,"R-W","RNW"),선정표_실내기!$A:$C,3,FALSE()))</f>
        <v>9300</v>
      </c>
      <c r="L47" s="14" t="str">
        <f aca="false">IF(K47="","-",IF(J47=K47,"일치","불일치"))</f>
        <v>일치</v>
      </c>
      <c r="M47" s="14" t="str">
        <f aca="false">IF(F47="선정표에 없음","선정표에 없음",IF(OR(I47="불일치",L47="불일치"),"용량 불일치",IF(F47="일치","일치","모델명 표기차이")))</f>
        <v>일치</v>
      </c>
      <c r="N47" s="5"/>
    </row>
    <row r="48" customFormat="false" ht="15" hidden="false" customHeight="false" outlineLevel="0" collapsed="false">
      <c r="A48" s="12" t="n">
        <v>45</v>
      </c>
      <c r="B48" s="12" t="s">
        <v>145</v>
      </c>
      <c r="C48" s="5" t="s">
        <v>141</v>
      </c>
      <c r="D48" s="13" t="s">
        <v>146</v>
      </c>
      <c r="E48" s="5" t="str">
        <f aca="false">IFERROR(VLOOKUP(SUBSTITUTE(D48,"R-W","RNW"),선정표_실내기!$A:$C,1,FALSE()),"선정표에 없음")</f>
        <v>RNW1100S2Y</v>
      </c>
      <c r="F48" s="14" t="str">
        <f aca="false">IF(E48="선정표에 없음","선정표에 없음",IF(D48=E48,"일치","표기차이(R-W↔RNW)"))</f>
        <v>일치</v>
      </c>
      <c r="G48" s="15" t="n">
        <v>11000</v>
      </c>
      <c r="H48" s="15" t="n">
        <f aca="false">IF(E48="선정표에 없음","",VLOOKUP(SUBSTITUTE(D48,"R-W","RNW"),선정표_실내기!$A:$C,2,FALSE()))</f>
        <v>11000</v>
      </c>
      <c r="I48" s="14" t="str">
        <f aca="false">IF(H48="","-",IF(G48=H48,"일치","불일치"))</f>
        <v>일치</v>
      </c>
      <c r="J48" s="15" t="n">
        <v>12400</v>
      </c>
      <c r="K48" s="15" t="n">
        <f aca="false">IF(E48="선정표에 없음","",VLOOKUP(SUBSTITUTE(D48,"R-W","RNW"),선정표_실내기!$A:$C,3,FALSE()))</f>
        <v>12400</v>
      </c>
      <c r="L48" s="14" t="str">
        <f aca="false">IF(K48="","-",IF(J48=K48,"일치","불일치"))</f>
        <v>일치</v>
      </c>
      <c r="M48" s="14" t="str">
        <f aca="false">IF(F48="선정표에 없음","선정표에 없음",IF(OR(I48="불일치",L48="불일치"),"용량 불일치",IF(F48="일치","일치","모델명 표기차이")))</f>
        <v>일치</v>
      </c>
      <c r="N48" s="5"/>
    </row>
    <row r="49" customFormat="false" ht="15" hidden="false" customHeight="false" outlineLevel="0" collapsed="false">
      <c r="A49" s="12" t="n">
        <v>46</v>
      </c>
      <c r="B49" s="12" t="s">
        <v>147</v>
      </c>
      <c r="C49" s="5" t="s">
        <v>141</v>
      </c>
      <c r="D49" s="13" t="s">
        <v>148</v>
      </c>
      <c r="E49" s="5" t="str">
        <f aca="false">IFERROR(VLOOKUP(SUBSTITUTE(D49,"R-W","RNW"),선정표_실내기!$A:$C,1,FALSE()),"선정표에 없음")</f>
        <v>RNW1450S2Y</v>
      </c>
      <c r="F49" s="14" t="str">
        <f aca="false">IF(E49="선정표에 없음","선정표에 없음",IF(D49=E49,"일치","표기차이(R-W↔RNW)"))</f>
        <v>일치</v>
      </c>
      <c r="G49" s="15" t="n">
        <v>14500</v>
      </c>
      <c r="H49" s="15" t="n">
        <f aca="false">IF(E49="선정표에 없음","",VLOOKUP(SUBSTITUTE(D49,"R-W","RNW"),선정표_실내기!$A:$C,2,FALSE()))</f>
        <v>14500</v>
      </c>
      <c r="I49" s="14" t="str">
        <f aca="false">IF(H49="","-",IF(G49=H49,"일치","불일치"))</f>
        <v>일치</v>
      </c>
      <c r="J49" s="15" t="n">
        <v>16300</v>
      </c>
      <c r="K49" s="15" t="n">
        <f aca="false">IF(E49="선정표에 없음","",VLOOKUP(SUBSTITUTE(D49,"R-W","RNW"),선정표_실내기!$A:$C,3,FALSE()))</f>
        <v>16300</v>
      </c>
      <c r="L49" s="14" t="str">
        <f aca="false">IF(K49="","-",IF(J49=K49,"일치","불일치"))</f>
        <v>일치</v>
      </c>
      <c r="M49" s="14" t="str">
        <f aca="false">IF(F49="선정표에 없음","선정표에 없음",IF(OR(I49="불일치",L49="불일치"),"용량 불일치",IF(F49="일치","일치","모델명 표기차이")))</f>
        <v>일치</v>
      </c>
      <c r="N49" s="5"/>
    </row>
    <row r="50" customFormat="false" ht="15" hidden="false" customHeight="false" outlineLevel="0" collapsed="false">
      <c r="A50" s="12" t="n">
        <v>47</v>
      </c>
      <c r="B50" s="12" t="s">
        <v>149</v>
      </c>
      <c r="C50" s="5" t="s">
        <v>150</v>
      </c>
      <c r="D50" s="13" t="s">
        <v>151</v>
      </c>
      <c r="E50" s="5" t="str">
        <f aca="false">IFERROR(VLOOKUP(SUBSTITUTE(D50,"R-W","RNW"),선정표_실내기!$A:$C,1,FALSE()),"선정표에 없음")</f>
        <v>RNW0720S2S</v>
      </c>
      <c r="F50" s="14" t="str">
        <f aca="false">IF(E50="선정표에 없음","선정표에 없음",IF(D50=E50,"일치","표기차이(R-W↔RNW)"))</f>
        <v>일치</v>
      </c>
      <c r="G50" s="15" t="n">
        <v>7200</v>
      </c>
      <c r="H50" s="15" t="n">
        <f aca="false">IF(E50="선정표에 없음","",VLOOKUP(SUBSTITUTE(D50,"R-W","RNW"),선정표_실내기!$A:$C,2,FALSE()))</f>
        <v>7200</v>
      </c>
      <c r="I50" s="14" t="str">
        <f aca="false">IF(H50="","-",IF(G50=H50,"일치","불일치"))</f>
        <v>일치</v>
      </c>
      <c r="J50" s="15" t="n">
        <v>8100</v>
      </c>
      <c r="K50" s="15" t="n">
        <f aca="false">IF(E50="선정표에 없음","",VLOOKUP(SUBSTITUTE(D50,"R-W","RNW"),선정표_실내기!$A:$C,3,FALSE()))</f>
        <v>8100</v>
      </c>
      <c r="L50" s="14" t="str">
        <f aca="false">IF(K50="","-",IF(J50=K50,"일치","불일치"))</f>
        <v>일치</v>
      </c>
      <c r="M50" s="14" t="str">
        <f aca="false">IF(F50="선정표에 없음","선정표에 없음",IF(OR(I50="불일치",L50="불일치"),"용량 불일치",IF(F50="일치","일치","모델명 표기차이")))</f>
        <v>일치</v>
      </c>
      <c r="N50" s="5"/>
    </row>
    <row r="51" customFormat="false" ht="15" hidden="false" customHeight="false" outlineLevel="0" collapsed="false">
      <c r="A51" s="12" t="n">
        <v>48</v>
      </c>
      <c r="B51" s="12" t="s">
        <v>152</v>
      </c>
      <c r="C51" s="5" t="s">
        <v>150</v>
      </c>
      <c r="D51" s="13" t="s">
        <v>153</v>
      </c>
      <c r="E51" s="5" t="str">
        <f aca="false">IFERROR(VLOOKUP(SUBSTITUTE(D51,"R-W","RNW"),선정표_실내기!$A:$C,1,FALSE()),"선정표에 없음")</f>
        <v>RNW0830S2S</v>
      </c>
      <c r="F51" s="14" t="str">
        <f aca="false">IF(E51="선정표에 없음","선정표에 없음",IF(D51=E51,"일치","표기차이(R-W↔RNW)"))</f>
        <v>일치</v>
      </c>
      <c r="G51" s="15" t="n">
        <v>8300</v>
      </c>
      <c r="H51" s="15" t="n">
        <f aca="false">IF(E51="선정표에 없음","",VLOOKUP(SUBSTITUTE(D51,"R-W","RNW"),선정표_실내기!$A:$C,2,FALSE()))</f>
        <v>8300</v>
      </c>
      <c r="I51" s="14" t="str">
        <f aca="false">IF(H51="","-",IF(G51=H51,"일치","불일치"))</f>
        <v>일치</v>
      </c>
      <c r="J51" s="15" t="n">
        <v>9300</v>
      </c>
      <c r="K51" s="15" t="n">
        <f aca="false">IF(E51="선정표에 없음","",VLOOKUP(SUBSTITUTE(D51,"R-W","RNW"),선정표_실내기!$A:$C,3,FALSE()))</f>
        <v>9300</v>
      </c>
      <c r="L51" s="14" t="str">
        <f aca="false">IF(K51="","-",IF(J51=K51,"일치","불일치"))</f>
        <v>일치</v>
      </c>
      <c r="M51" s="14" t="str">
        <f aca="false">IF(F51="선정표에 없음","선정표에 없음",IF(OR(I51="불일치",L51="불일치"),"용량 불일치",IF(F51="일치","일치","모델명 표기차이")))</f>
        <v>일치</v>
      </c>
      <c r="N51" s="5"/>
    </row>
    <row r="52" customFormat="false" ht="15" hidden="false" customHeight="false" outlineLevel="0" collapsed="false">
      <c r="A52" s="12" t="n">
        <v>49</v>
      </c>
      <c r="B52" s="12" t="s">
        <v>154</v>
      </c>
      <c r="C52" s="5" t="s">
        <v>150</v>
      </c>
      <c r="D52" s="13" t="s">
        <v>155</v>
      </c>
      <c r="E52" s="5" t="str">
        <f aca="false">IFERROR(VLOOKUP(SUBSTITUTE(D52,"R-W","RNW"),선정표_실내기!$A:$C,1,FALSE()),"선정표에 없음")</f>
        <v>RNW1100S2S</v>
      </c>
      <c r="F52" s="14" t="str">
        <f aca="false">IF(E52="선정표에 없음","선정표에 없음",IF(D52=E52,"일치","표기차이(R-W↔RNW)"))</f>
        <v>일치</v>
      </c>
      <c r="G52" s="15" t="n">
        <v>11000</v>
      </c>
      <c r="H52" s="15" t="n">
        <f aca="false">IF(E52="선정표에 없음","",VLOOKUP(SUBSTITUTE(D52,"R-W","RNW"),선정표_실내기!$A:$C,2,FALSE()))</f>
        <v>11000</v>
      </c>
      <c r="I52" s="14" t="str">
        <f aca="false">IF(H52="","-",IF(G52=H52,"일치","불일치"))</f>
        <v>일치</v>
      </c>
      <c r="J52" s="15" t="n">
        <v>12400</v>
      </c>
      <c r="K52" s="15" t="n">
        <f aca="false">IF(E52="선정표에 없음","",VLOOKUP(SUBSTITUTE(D52,"R-W","RNW"),선정표_실내기!$A:$C,3,FALSE()))</f>
        <v>12400</v>
      </c>
      <c r="L52" s="14" t="str">
        <f aca="false">IF(K52="","-",IF(J52=K52,"일치","불일치"))</f>
        <v>일치</v>
      </c>
      <c r="M52" s="14" t="str">
        <f aca="false">IF(F52="선정표에 없음","선정표에 없음",IF(OR(I52="불일치",L52="불일치"),"용량 불일치",IF(F52="일치","일치","모델명 표기차이")))</f>
        <v>일치</v>
      </c>
      <c r="N52" s="5"/>
    </row>
    <row r="53" customFormat="false" ht="15" hidden="false" customHeight="false" outlineLevel="0" collapsed="false">
      <c r="A53" s="12" t="n">
        <v>50</v>
      </c>
      <c r="B53" s="12" t="s">
        <v>156</v>
      </c>
      <c r="C53" s="5" t="s">
        <v>150</v>
      </c>
      <c r="D53" s="13" t="s">
        <v>157</v>
      </c>
      <c r="E53" s="5" t="str">
        <f aca="false">IFERROR(VLOOKUP(SUBSTITUTE(D53,"R-W","RNW"),선정표_실내기!$A:$C,1,FALSE()),"선정표에 없음")</f>
        <v>RNW1450S2S</v>
      </c>
      <c r="F53" s="14" t="str">
        <f aca="false">IF(E53="선정표에 없음","선정표에 없음",IF(D53=E53,"일치","표기차이(R-W↔RNW)"))</f>
        <v>일치</v>
      </c>
      <c r="G53" s="15" t="n">
        <v>14500</v>
      </c>
      <c r="H53" s="15" t="n">
        <f aca="false">IF(E53="선정표에 없음","",VLOOKUP(SUBSTITUTE(D53,"R-W","RNW"),선정표_실내기!$A:$C,2,FALSE()))</f>
        <v>14500</v>
      </c>
      <c r="I53" s="14" t="str">
        <f aca="false">IF(H53="","-",IF(G53=H53,"일치","불일치"))</f>
        <v>일치</v>
      </c>
      <c r="J53" s="15" t="n">
        <v>16300</v>
      </c>
      <c r="K53" s="15" t="n">
        <f aca="false">IF(E53="선정표에 없음","",VLOOKUP(SUBSTITUTE(D53,"R-W","RNW"),선정표_실내기!$A:$C,3,FALSE()))</f>
        <v>16300</v>
      </c>
      <c r="L53" s="14" t="str">
        <f aca="false">IF(K53="","-",IF(J53=K53,"일치","불일치"))</f>
        <v>일치</v>
      </c>
      <c r="M53" s="14" t="str">
        <f aca="false">IF(F53="선정표에 없음","선정표에 없음",IF(OR(I53="불일치",L53="불일치"),"용량 불일치",IF(F53="일치","일치","모델명 표기차이")))</f>
        <v>일치</v>
      </c>
      <c r="N53" s="5"/>
    </row>
  </sheetData>
  <conditionalFormatting sqref="F4:F53">
    <cfRule type="cellIs" priority="2" operator="equal" aboveAverage="0" equalAverage="0" bottom="0" percent="0" rank="0" text="" dxfId="0">
      <formula>"일치"</formula>
    </cfRule>
    <cfRule type="expression" priority="3" aboveAverage="0" equalAverage="0" bottom="0" percent="0" rank="0" text="" dxfId="1">
      <formula>ISNUMBER(SEARCH("불일치",F4))</formula>
    </cfRule>
    <cfRule type="expression" priority="4" aboveAverage="0" equalAverage="0" bottom="0" percent="0" rank="0" text="" dxfId="1">
      <formula>ISNUMBER(SEARCH("없음",F4))</formula>
    </cfRule>
    <cfRule type="expression" priority="5" aboveAverage="0" equalAverage="0" bottom="0" percent="0" rank="0" text="" dxfId="2">
      <formula>ISNUMBER(SEARCH("표기",F4))</formula>
    </cfRule>
  </conditionalFormatting>
  <conditionalFormatting sqref="I4:I53">
    <cfRule type="cellIs" priority="6" operator="equal" aboveAverage="0" equalAverage="0" bottom="0" percent="0" rank="0" text="" dxfId="0">
      <formula>"일치"</formula>
    </cfRule>
    <cfRule type="expression" priority="7" aboveAverage="0" equalAverage="0" bottom="0" percent="0" rank="0" text="" dxfId="1">
      <formula>ISNUMBER(SEARCH("불일치",I4))</formula>
    </cfRule>
    <cfRule type="expression" priority="8" aboveAverage="0" equalAverage="0" bottom="0" percent="0" rank="0" text="" dxfId="1">
      <formula>ISNUMBER(SEARCH("없음",I4))</formula>
    </cfRule>
    <cfRule type="expression" priority="9" aboveAverage="0" equalAverage="0" bottom="0" percent="0" rank="0" text="" dxfId="2">
      <formula>ISNUMBER(SEARCH("표기",I4))</formula>
    </cfRule>
  </conditionalFormatting>
  <conditionalFormatting sqref="L4:L53">
    <cfRule type="cellIs" priority="10" operator="equal" aboveAverage="0" equalAverage="0" bottom="0" percent="0" rank="0" text="" dxfId="0">
      <formula>"일치"</formula>
    </cfRule>
    <cfRule type="expression" priority="11" aboveAverage="0" equalAverage="0" bottom="0" percent="0" rank="0" text="" dxfId="1">
      <formula>ISNUMBER(SEARCH("불일치",L4))</formula>
    </cfRule>
    <cfRule type="expression" priority="12" aboveAverage="0" equalAverage="0" bottom="0" percent="0" rank="0" text="" dxfId="1">
      <formula>ISNUMBER(SEARCH("없음",L4))</formula>
    </cfRule>
    <cfRule type="expression" priority="13" aboveAverage="0" equalAverage="0" bottom="0" percent="0" rank="0" text="" dxfId="2">
      <formula>ISNUMBER(SEARCH("표기",L4))</formula>
    </cfRule>
  </conditionalFormatting>
  <conditionalFormatting sqref="M4:M53">
    <cfRule type="cellIs" priority="14" operator="equal" aboveAverage="0" equalAverage="0" bottom="0" percent="0" rank="0" text="" dxfId="0">
      <formula>"일치"</formula>
    </cfRule>
    <cfRule type="expression" priority="15" aboveAverage="0" equalAverage="0" bottom="0" percent="0" rank="0" text="" dxfId="1">
      <formula>ISNUMBER(SEARCH("불일치",M4))</formula>
    </cfRule>
    <cfRule type="expression" priority="16" aboveAverage="0" equalAverage="0" bottom="0" percent="0" rank="0" text="" dxfId="1">
      <formula>ISNUMBER(SEARCH("없음",M4))</formula>
    </cfRule>
    <cfRule type="expression" priority="17" aboveAverage="0" equalAverage="0" bottom="0" percent="0" rank="0" text="" dxfId="2">
      <formula>ISNUMBER(SEARCH("표기",M4))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"/>
    <col collapsed="false" customWidth="true" hidden="false" outlineLevel="0" max="4" min="4" style="0" width="24"/>
    <col collapsed="false" customWidth="true" hidden="false" outlineLevel="0" max="5" min="5" style="0" width="14"/>
  </cols>
  <sheetData>
    <row r="1" customFormat="false" ht="19.4" hidden="false" customHeight="false" outlineLevel="0" collapsed="false">
      <c r="A1" s="16" t="s">
        <v>158</v>
      </c>
    </row>
    <row r="2" customFormat="false" ht="15" hidden="false" customHeight="false" outlineLevel="0" collapsed="false">
      <c r="A2" s="11" t="s">
        <v>159</v>
      </c>
      <c r="B2" s="11" t="s">
        <v>160</v>
      </c>
      <c r="C2" s="11" t="s">
        <v>161</v>
      </c>
      <c r="D2" s="11" t="s">
        <v>162</v>
      </c>
      <c r="E2" s="11" t="s">
        <v>163</v>
      </c>
    </row>
    <row r="3" customFormat="false" ht="15" hidden="false" customHeight="false" outlineLevel="0" collapsed="false">
      <c r="A3" s="13" t="s">
        <v>164</v>
      </c>
      <c r="B3" s="15" t="n">
        <v>2000</v>
      </c>
      <c r="C3" s="15" t="n">
        <v>2200</v>
      </c>
      <c r="D3" s="13" t="s">
        <v>46</v>
      </c>
      <c r="E3" s="14" t="str">
        <f aca="false">IF(COUNTIF(모델별_비교!$E$4:$E$53,A3)&gt;0,"도면에 있음","도면에 없음")</f>
        <v>도면에 있음</v>
      </c>
    </row>
    <row r="4" customFormat="false" ht="15" hidden="false" customHeight="false" outlineLevel="0" collapsed="false">
      <c r="A4" s="13" t="s">
        <v>165</v>
      </c>
      <c r="B4" s="15" t="n">
        <v>2300</v>
      </c>
      <c r="C4" s="15" t="n">
        <v>2600</v>
      </c>
      <c r="D4" s="13" t="s">
        <v>46</v>
      </c>
      <c r="E4" s="14" t="str">
        <f aca="false">IF(COUNTIF(모델별_비교!$E$4:$E$53,A4)&gt;0,"도면에 있음","도면에 없음")</f>
        <v>도면에 있음</v>
      </c>
    </row>
    <row r="5" customFormat="false" ht="15" hidden="false" customHeight="false" outlineLevel="0" collapsed="false">
      <c r="A5" s="13" t="s">
        <v>166</v>
      </c>
      <c r="B5" s="15" t="n">
        <v>3200</v>
      </c>
      <c r="C5" s="15" t="n">
        <v>3600</v>
      </c>
      <c r="D5" s="13" t="s">
        <v>46</v>
      </c>
      <c r="E5" s="14" t="str">
        <f aca="false">IF(COUNTIF(모델별_비교!$E$4:$E$53,A5)&gt;0,"도면에 있음","도면에 없음")</f>
        <v>도면에 있음</v>
      </c>
    </row>
    <row r="6" customFormat="false" ht="15" hidden="false" customHeight="false" outlineLevel="0" collapsed="false">
      <c r="A6" s="13" t="s">
        <v>167</v>
      </c>
      <c r="B6" s="15" t="n">
        <v>4000</v>
      </c>
      <c r="C6" s="15" t="n">
        <v>4500</v>
      </c>
      <c r="D6" s="13" t="s">
        <v>46</v>
      </c>
      <c r="E6" s="14" t="str">
        <f aca="false">IF(COUNTIF(모델별_비교!$E$4:$E$53,A6)&gt;0,"도면에 있음","도면에 없음")</f>
        <v>도면에 있음</v>
      </c>
    </row>
    <row r="7" customFormat="false" ht="15" hidden="false" customHeight="false" outlineLevel="0" collapsed="false">
      <c r="A7" s="13" t="s">
        <v>168</v>
      </c>
      <c r="B7" s="15" t="n">
        <v>5200</v>
      </c>
      <c r="C7" s="15" t="n">
        <v>5900</v>
      </c>
      <c r="D7" s="13" t="s">
        <v>46</v>
      </c>
      <c r="E7" s="14" t="str">
        <f aca="false">IF(COUNTIF(모델별_비교!$E$4:$E$53,A7)&gt;0,"도면에 있음","도면에 없음")</f>
        <v>도면에 있음</v>
      </c>
    </row>
    <row r="8" customFormat="false" ht="15" hidden="false" customHeight="false" outlineLevel="0" collapsed="false">
      <c r="A8" s="13" t="s">
        <v>169</v>
      </c>
      <c r="B8" s="15" t="n">
        <v>6000</v>
      </c>
      <c r="C8" s="15" t="n">
        <v>6800</v>
      </c>
      <c r="D8" s="13" t="s">
        <v>46</v>
      </c>
      <c r="E8" s="14" t="str">
        <f aca="false">IF(COUNTIF(모델별_비교!$E$4:$E$53,A8)&gt;0,"도면에 있음","도면에 없음")</f>
        <v>도면에 있음</v>
      </c>
    </row>
    <row r="9" customFormat="false" ht="15" hidden="false" customHeight="false" outlineLevel="0" collapsed="false">
      <c r="A9" s="13" t="s">
        <v>170</v>
      </c>
      <c r="B9" s="15" t="n">
        <v>7200</v>
      </c>
      <c r="C9" s="15" t="n">
        <v>7200</v>
      </c>
      <c r="D9" s="13" t="s">
        <v>46</v>
      </c>
      <c r="E9" s="14" t="str">
        <f aca="false">IF(COUNTIF(모델별_비교!$E$4:$E$53,A9)&gt;0,"도면에 있음","도면에 없음")</f>
        <v>도면에 있음</v>
      </c>
    </row>
    <row r="10" customFormat="false" ht="15" hidden="false" customHeight="false" outlineLevel="0" collapsed="false">
      <c r="A10" s="13" t="s">
        <v>171</v>
      </c>
      <c r="B10" s="15" t="n">
        <v>2000</v>
      </c>
      <c r="C10" s="15" t="n">
        <v>2200</v>
      </c>
      <c r="D10" s="13" t="s">
        <v>46</v>
      </c>
      <c r="E10" s="14" t="str">
        <f aca="false">IF(COUNTIF(모델별_비교!$E$4:$E$53,A10)&gt;0,"도면에 있음","도면에 없음")</f>
        <v>도면에 없음</v>
      </c>
    </row>
    <row r="11" customFormat="false" ht="15" hidden="false" customHeight="false" outlineLevel="0" collapsed="false">
      <c r="A11" s="13" t="s">
        <v>172</v>
      </c>
      <c r="B11" s="15" t="n">
        <v>2300</v>
      </c>
      <c r="C11" s="15" t="n">
        <v>2600</v>
      </c>
      <c r="D11" s="13" t="s">
        <v>46</v>
      </c>
      <c r="E11" s="14" t="str">
        <f aca="false">IF(COUNTIF(모델별_비교!$E$4:$E$53,A11)&gt;0,"도면에 있음","도면에 없음")</f>
        <v>도면에 없음</v>
      </c>
    </row>
    <row r="12" customFormat="false" ht="15" hidden="false" customHeight="false" outlineLevel="0" collapsed="false">
      <c r="A12" s="13" t="s">
        <v>173</v>
      </c>
      <c r="B12" s="15" t="n">
        <v>3200</v>
      </c>
      <c r="C12" s="15" t="n">
        <v>3600</v>
      </c>
      <c r="D12" s="13" t="s">
        <v>46</v>
      </c>
      <c r="E12" s="14" t="str">
        <f aca="false">IF(COUNTIF(모델별_비교!$E$4:$E$53,A12)&gt;0,"도면에 있음","도면에 없음")</f>
        <v>도면에 없음</v>
      </c>
    </row>
    <row r="13" customFormat="false" ht="15" hidden="false" customHeight="false" outlineLevel="0" collapsed="false">
      <c r="A13" s="13" t="s">
        <v>174</v>
      </c>
      <c r="B13" s="15" t="n">
        <v>4000</v>
      </c>
      <c r="C13" s="15" t="n">
        <v>4500</v>
      </c>
      <c r="D13" s="13" t="s">
        <v>46</v>
      </c>
      <c r="E13" s="14" t="str">
        <f aca="false">IF(COUNTIF(모델별_비교!$E$4:$E$53,A13)&gt;0,"도면에 있음","도면에 없음")</f>
        <v>도면에 없음</v>
      </c>
    </row>
    <row r="14" customFormat="false" ht="15" hidden="false" customHeight="false" outlineLevel="0" collapsed="false">
      <c r="A14" s="13" t="s">
        <v>175</v>
      </c>
      <c r="B14" s="15" t="n">
        <v>5200</v>
      </c>
      <c r="C14" s="15" t="n">
        <v>5900</v>
      </c>
      <c r="D14" s="13" t="s">
        <v>46</v>
      </c>
      <c r="E14" s="14" t="str">
        <f aca="false">IF(COUNTIF(모델별_비교!$E$4:$E$53,A14)&gt;0,"도면에 있음","도면에 없음")</f>
        <v>도면에 없음</v>
      </c>
    </row>
    <row r="15" customFormat="false" ht="15" hidden="false" customHeight="false" outlineLevel="0" collapsed="false">
      <c r="A15" s="13" t="s">
        <v>176</v>
      </c>
      <c r="B15" s="15" t="n">
        <v>6000</v>
      </c>
      <c r="C15" s="15" t="n">
        <v>6800</v>
      </c>
      <c r="D15" s="13" t="s">
        <v>46</v>
      </c>
      <c r="E15" s="14" t="str">
        <f aca="false">IF(COUNTIF(모델별_비교!$E$4:$E$53,A15)&gt;0,"도면에 있음","도면에 없음")</f>
        <v>도면에 없음</v>
      </c>
    </row>
    <row r="16" customFormat="false" ht="15" hidden="false" customHeight="false" outlineLevel="0" collapsed="false">
      <c r="A16" s="13" t="s">
        <v>177</v>
      </c>
      <c r="B16" s="15" t="n">
        <v>7200</v>
      </c>
      <c r="C16" s="15" t="n">
        <v>7200</v>
      </c>
      <c r="D16" s="13" t="s">
        <v>46</v>
      </c>
      <c r="E16" s="14" t="str">
        <f aca="false">IF(COUNTIF(모델별_비교!$E$4:$E$53,A16)&gt;0,"도면에 있음","도면에 없음")</f>
        <v>도면에 없음</v>
      </c>
    </row>
    <row r="17" customFormat="false" ht="15" hidden="false" customHeight="false" outlineLevel="0" collapsed="false">
      <c r="A17" s="13" t="s">
        <v>178</v>
      </c>
      <c r="B17" s="15" t="n">
        <v>5200</v>
      </c>
      <c r="C17" s="15" t="n">
        <v>5900</v>
      </c>
      <c r="D17" s="13" t="s">
        <v>62</v>
      </c>
      <c r="E17" s="14" t="str">
        <f aca="false">IF(COUNTIF(모델별_비교!$E$4:$E$53,A17)&gt;0,"도면에 있음","도면에 없음")</f>
        <v>도면에 있음</v>
      </c>
    </row>
    <row r="18" customFormat="false" ht="15" hidden="false" customHeight="false" outlineLevel="0" collapsed="false">
      <c r="A18" s="13" t="s">
        <v>179</v>
      </c>
      <c r="B18" s="15" t="n">
        <v>6000</v>
      </c>
      <c r="C18" s="15" t="n">
        <v>6800</v>
      </c>
      <c r="D18" s="13" t="s">
        <v>62</v>
      </c>
      <c r="E18" s="14" t="str">
        <f aca="false">IF(COUNTIF(모델별_비교!$E$4:$E$53,A18)&gt;0,"도면에 있음","도면에 없음")</f>
        <v>도면에 있음</v>
      </c>
    </row>
    <row r="19" customFormat="false" ht="15" hidden="false" customHeight="false" outlineLevel="0" collapsed="false">
      <c r="A19" s="13" t="s">
        <v>180</v>
      </c>
      <c r="B19" s="15" t="n">
        <v>7200</v>
      </c>
      <c r="C19" s="15" t="n">
        <v>8100</v>
      </c>
      <c r="D19" s="13" t="s">
        <v>62</v>
      </c>
      <c r="E19" s="14" t="str">
        <f aca="false">IF(COUNTIF(모델별_비교!$E$4:$E$53,A19)&gt;0,"도면에 있음","도면에 없음")</f>
        <v>도면에 있음</v>
      </c>
    </row>
    <row r="20" customFormat="false" ht="15" hidden="false" customHeight="false" outlineLevel="0" collapsed="false">
      <c r="A20" s="13" t="s">
        <v>181</v>
      </c>
      <c r="B20" s="15" t="n">
        <v>2300</v>
      </c>
      <c r="C20" s="15" t="n">
        <v>2600</v>
      </c>
      <c r="D20" s="13" t="s">
        <v>69</v>
      </c>
      <c r="E20" s="14" t="str">
        <f aca="false">IF(COUNTIF(모델별_비교!$E$4:$E$53,A20)&gt;0,"도면에 있음","도면에 없음")</f>
        <v>도면에 있음</v>
      </c>
    </row>
    <row r="21" customFormat="false" ht="15" hidden="false" customHeight="false" outlineLevel="0" collapsed="false">
      <c r="A21" s="13" t="s">
        <v>182</v>
      </c>
      <c r="B21" s="15" t="n">
        <v>3200</v>
      </c>
      <c r="C21" s="15" t="n">
        <v>3600</v>
      </c>
      <c r="D21" s="13" t="s">
        <v>69</v>
      </c>
      <c r="E21" s="14" t="str">
        <f aca="false">IF(COUNTIF(모델별_비교!$E$4:$E$53,A21)&gt;0,"도면에 있음","도면에 없음")</f>
        <v>도면에 있음</v>
      </c>
    </row>
    <row r="22" customFormat="false" ht="15" hidden="false" customHeight="false" outlineLevel="0" collapsed="false">
      <c r="A22" s="13" t="s">
        <v>183</v>
      </c>
      <c r="B22" s="15" t="n">
        <v>4000</v>
      </c>
      <c r="C22" s="15" t="n">
        <v>4500</v>
      </c>
      <c r="D22" s="13" t="s">
        <v>69</v>
      </c>
      <c r="E22" s="14" t="str">
        <f aca="false">IF(COUNTIF(모델별_비교!$E$4:$E$53,A22)&gt;0,"도면에 있음","도면에 없음")</f>
        <v>도면에 있음</v>
      </c>
    </row>
    <row r="23" customFormat="false" ht="15" hidden="false" customHeight="false" outlineLevel="0" collapsed="false">
      <c r="A23" s="13" t="s">
        <v>184</v>
      </c>
      <c r="B23" s="15" t="n">
        <v>5200</v>
      </c>
      <c r="C23" s="15" t="n">
        <v>5900</v>
      </c>
      <c r="D23" s="13" t="s">
        <v>69</v>
      </c>
      <c r="E23" s="14" t="str">
        <f aca="false">IF(COUNTIF(모델별_비교!$E$4:$E$53,A23)&gt;0,"도면에 있음","도면에 없음")</f>
        <v>도면에 있음</v>
      </c>
    </row>
    <row r="24" customFormat="false" ht="15" hidden="false" customHeight="false" outlineLevel="0" collapsed="false">
      <c r="A24" s="13" t="s">
        <v>185</v>
      </c>
      <c r="B24" s="15" t="n">
        <v>4000</v>
      </c>
      <c r="C24" s="15" t="n">
        <v>4500</v>
      </c>
      <c r="D24" s="13" t="s">
        <v>186</v>
      </c>
      <c r="E24" s="14" t="str">
        <f aca="false">IF(COUNTIF(모델별_비교!$E$4:$E$53,A24)&gt;0,"도면에 있음","도면에 없음")</f>
        <v>도면에 있음</v>
      </c>
    </row>
    <row r="25" customFormat="false" ht="15" hidden="false" customHeight="false" outlineLevel="0" collapsed="false">
      <c r="A25" s="13" t="s">
        <v>187</v>
      </c>
      <c r="B25" s="15" t="n">
        <v>5200</v>
      </c>
      <c r="C25" s="15" t="n">
        <v>5900</v>
      </c>
      <c r="D25" s="13" t="s">
        <v>186</v>
      </c>
      <c r="E25" s="14" t="str">
        <f aca="false">IF(COUNTIF(모델별_비교!$E$4:$E$53,A25)&gt;0,"도면에 있음","도면에 없음")</f>
        <v>도면에 있음</v>
      </c>
    </row>
    <row r="26" customFormat="false" ht="15" hidden="false" customHeight="false" outlineLevel="0" collapsed="false">
      <c r="A26" s="13" t="s">
        <v>188</v>
      </c>
      <c r="B26" s="15" t="n">
        <v>6000</v>
      </c>
      <c r="C26" s="15" t="n">
        <v>6800</v>
      </c>
      <c r="D26" s="13" t="s">
        <v>186</v>
      </c>
      <c r="E26" s="14" t="str">
        <f aca="false">IF(COUNTIF(모델별_비교!$E$4:$E$53,A26)&gt;0,"도면에 있음","도면에 없음")</f>
        <v>도면에 있음</v>
      </c>
    </row>
    <row r="27" customFormat="false" ht="15" hidden="false" customHeight="false" outlineLevel="0" collapsed="false">
      <c r="A27" s="13" t="s">
        <v>189</v>
      </c>
      <c r="B27" s="15" t="n">
        <v>7200</v>
      </c>
      <c r="C27" s="15" t="n">
        <v>8100</v>
      </c>
      <c r="D27" s="13" t="s">
        <v>186</v>
      </c>
      <c r="E27" s="14" t="str">
        <f aca="false">IF(COUNTIF(모델별_비교!$E$4:$E$53,A27)&gt;0,"도면에 있음","도면에 없음")</f>
        <v>도면에 있음</v>
      </c>
    </row>
    <row r="28" customFormat="false" ht="15" hidden="false" customHeight="false" outlineLevel="0" collapsed="false">
      <c r="A28" s="13" t="s">
        <v>190</v>
      </c>
      <c r="B28" s="15" t="n">
        <v>8300</v>
      </c>
      <c r="C28" s="15" t="n">
        <v>9300</v>
      </c>
      <c r="D28" s="13" t="s">
        <v>186</v>
      </c>
      <c r="E28" s="14" t="str">
        <f aca="false">IF(COUNTIF(모델별_비교!$E$4:$E$53,A28)&gt;0,"도면에 있음","도면에 없음")</f>
        <v>도면에 있음</v>
      </c>
    </row>
    <row r="29" customFormat="false" ht="15" hidden="false" customHeight="false" outlineLevel="0" collapsed="false">
      <c r="A29" s="13" t="s">
        <v>191</v>
      </c>
      <c r="B29" s="15" t="n">
        <v>10000</v>
      </c>
      <c r="C29" s="15" t="n">
        <v>11200</v>
      </c>
      <c r="D29" s="13" t="s">
        <v>186</v>
      </c>
      <c r="E29" s="14" t="str">
        <f aca="false">IF(COUNTIF(모델별_비교!$E$4:$E$53,A29)&gt;0,"도면에 있음","도면에 없음")</f>
        <v>도면에 있음</v>
      </c>
    </row>
    <row r="30" customFormat="false" ht="15" hidden="false" customHeight="false" outlineLevel="0" collapsed="false">
      <c r="A30" s="13" t="s">
        <v>192</v>
      </c>
      <c r="B30" s="15" t="n">
        <v>11000</v>
      </c>
      <c r="C30" s="15" t="n">
        <v>12400</v>
      </c>
      <c r="D30" s="13" t="s">
        <v>186</v>
      </c>
      <c r="E30" s="14" t="str">
        <f aca="false">IF(COUNTIF(모델별_비교!$E$4:$E$53,A30)&gt;0,"도면에 있음","도면에 없음")</f>
        <v>도면에 있음</v>
      </c>
    </row>
    <row r="31" customFormat="false" ht="15" hidden="false" customHeight="false" outlineLevel="0" collapsed="false">
      <c r="A31" s="13" t="s">
        <v>193</v>
      </c>
      <c r="B31" s="15" t="n">
        <v>13000</v>
      </c>
      <c r="C31" s="15" t="n">
        <v>14600</v>
      </c>
      <c r="D31" s="13" t="s">
        <v>186</v>
      </c>
      <c r="E31" s="14" t="str">
        <f aca="false">IF(COUNTIF(모델별_비교!$E$4:$E$53,A31)&gt;0,"도면에 있음","도면에 없음")</f>
        <v>도면에 있음</v>
      </c>
    </row>
    <row r="32" customFormat="false" ht="15" hidden="false" customHeight="false" outlineLevel="0" collapsed="false">
      <c r="A32" s="13" t="s">
        <v>194</v>
      </c>
      <c r="B32" s="15" t="n">
        <v>14500</v>
      </c>
      <c r="C32" s="15" t="n">
        <v>16300</v>
      </c>
      <c r="D32" s="13" t="s">
        <v>186</v>
      </c>
      <c r="E32" s="14" t="str">
        <f aca="false">IF(COUNTIF(모델별_비교!$E$4:$E$53,A32)&gt;0,"도면에 있음","도면에 없음")</f>
        <v>도면에 있음</v>
      </c>
    </row>
    <row r="33" customFormat="false" ht="15" hidden="false" customHeight="false" outlineLevel="0" collapsed="false">
      <c r="A33" s="13" t="s">
        <v>135</v>
      </c>
      <c r="B33" s="15" t="n">
        <v>2300</v>
      </c>
      <c r="C33" s="15" t="n">
        <v>2600</v>
      </c>
      <c r="D33" s="5" t="s">
        <v>134</v>
      </c>
      <c r="E33" s="14" t="str">
        <f aca="false">IF(COUNTIF(모델별_비교!$E$4:$E$53,A33)&gt;0,"도면에 있음","도면에 없음")</f>
        <v>도면에 있음</v>
      </c>
    </row>
    <row r="34" customFormat="false" ht="15" hidden="false" customHeight="false" outlineLevel="0" collapsed="false">
      <c r="A34" s="13" t="s">
        <v>137</v>
      </c>
      <c r="B34" s="15" t="n">
        <v>3200</v>
      </c>
      <c r="C34" s="15" t="n">
        <v>3600</v>
      </c>
      <c r="D34" s="5" t="s">
        <v>134</v>
      </c>
      <c r="E34" s="14" t="str">
        <f aca="false">IF(COUNTIF(모델별_비교!$E$4:$E$53,A34)&gt;0,"도면에 있음","도면에 없음")</f>
        <v>도면에 있음</v>
      </c>
    </row>
    <row r="35" customFormat="false" ht="15" hidden="false" customHeight="false" outlineLevel="0" collapsed="false">
      <c r="A35" s="13" t="s">
        <v>139</v>
      </c>
      <c r="B35" s="15" t="n">
        <v>4000</v>
      </c>
      <c r="C35" s="15" t="n">
        <v>4500</v>
      </c>
      <c r="D35" s="5" t="s">
        <v>134</v>
      </c>
      <c r="E35" s="14" t="str">
        <f aca="false">IF(COUNTIF(모델별_비교!$E$4:$E$53,A35)&gt;0,"도면에 있음","도면에 없음")</f>
        <v>도면에 있음</v>
      </c>
    </row>
    <row r="36" customFormat="false" ht="15" hidden="false" customHeight="false" outlineLevel="0" collapsed="false">
      <c r="A36" s="13" t="s">
        <v>113</v>
      </c>
      <c r="B36" s="15" t="n">
        <v>5200</v>
      </c>
      <c r="C36" s="15" t="n">
        <v>6000</v>
      </c>
      <c r="D36" s="5" t="s">
        <v>195</v>
      </c>
      <c r="E36" s="14" t="str">
        <f aca="false">IF(COUNTIF(모델별_비교!$E$4:$E$53,A36)&gt;0,"도면에 있음","도면에 없음")</f>
        <v>도면에 있음</v>
      </c>
    </row>
    <row r="37" customFormat="false" ht="15" hidden="false" customHeight="false" outlineLevel="0" collapsed="false">
      <c r="A37" s="13" t="s">
        <v>115</v>
      </c>
      <c r="B37" s="15" t="n">
        <v>6000</v>
      </c>
      <c r="C37" s="15" t="n">
        <v>6800</v>
      </c>
      <c r="D37" s="5" t="s">
        <v>195</v>
      </c>
      <c r="E37" s="14" t="str">
        <f aca="false">IF(COUNTIF(모델별_비교!$E$4:$E$53,A37)&gt;0,"도면에 있음","도면에 없음")</f>
        <v>도면에 있음</v>
      </c>
    </row>
    <row r="38" customFormat="false" ht="15" hidden="false" customHeight="false" outlineLevel="0" collapsed="false">
      <c r="A38" s="13" t="s">
        <v>117</v>
      </c>
      <c r="B38" s="15" t="n">
        <v>7200</v>
      </c>
      <c r="C38" s="15" t="n">
        <v>8000</v>
      </c>
      <c r="D38" s="5" t="s">
        <v>195</v>
      </c>
      <c r="E38" s="14" t="str">
        <f aca="false">IF(COUNTIF(모델별_비교!$E$4:$E$53,A38)&gt;0,"도면에 있음","도면에 없음")</f>
        <v>도면에 있음</v>
      </c>
    </row>
    <row r="39" customFormat="false" ht="15" hidden="false" customHeight="false" outlineLevel="0" collapsed="false">
      <c r="A39" s="13" t="s">
        <v>119</v>
      </c>
      <c r="B39" s="15" t="n">
        <v>8300</v>
      </c>
      <c r="C39" s="15" t="n">
        <v>9300</v>
      </c>
      <c r="D39" s="5" t="s">
        <v>195</v>
      </c>
      <c r="E39" s="14" t="str">
        <f aca="false">IF(COUNTIF(모델별_비교!$E$4:$E$53,A39)&gt;0,"도면에 있음","도면에 없음")</f>
        <v>도면에 있음</v>
      </c>
    </row>
    <row r="40" customFormat="false" ht="15" hidden="false" customHeight="false" outlineLevel="0" collapsed="false">
      <c r="A40" s="13" t="s">
        <v>121</v>
      </c>
      <c r="B40" s="15" t="n">
        <v>10000</v>
      </c>
      <c r="C40" s="15" t="n">
        <v>11200</v>
      </c>
      <c r="D40" s="5" t="s">
        <v>195</v>
      </c>
      <c r="E40" s="14" t="str">
        <f aca="false">IF(COUNTIF(모델별_비교!$E$4:$E$53,A40)&gt;0,"도면에 있음","도면에 없음")</f>
        <v>도면에 있음</v>
      </c>
    </row>
    <row r="41" customFormat="false" ht="15" hidden="false" customHeight="false" outlineLevel="0" collapsed="false">
      <c r="A41" s="13" t="s">
        <v>123</v>
      </c>
      <c r="B41" s="15" t="n">
        <v>11000</v>
      </c>
      <c r="C41" s="15" t="n">
        <v>12400</v>
      </c>
      <c r="D41" s="5" t="s">
        <v>195</v>
      </c>
      <c r="E41" s="14" t="str">
        <f aca="false">IF(COUNTIF(모델별_비교!$E$4:$E$53,A41)&gt;0,"도면에 있음","도면에 없음")</f>
        <v>도면에 있음</v>
      </c>
    </row>
    <row r="42" customFormat="false" ht="15" hidden="false" customHeight="false" outlineLevel="0" collapsed="false">
      <c r="A42" s="13" t="s">
        <v>125</v>
      </c>
      <c r="B42" s="15" t="n">
        <v>13000</v>
      </c>
      <c r="C42" s="15" t="n">
        <v>14600</v>
      </c>
      <c r="D42" s="5" t="s">
        <v>195</v>
      </c>
      <c r="E42" s="14" t="str">
        <f aca="false">IF(COUNTIF(모델별_비교!$E$4:$E$53,A42)&gt;0,"도면에 있음","도면에 없음")</f>
        <v>도면에 있음</v>
      </c>
    </row>
    <row r="43" customFormat="false" ht="15" hidden="false" customHeight="false" outlineLevel="0" collapsed="false">
      <c r="A43" s="13" t="s">
        <v>127</v>
      </c>
      <c r="B43" s="15" t="n">
        <v>14500</v>
      </c>
      <c r="C43" s="15" t="n">
        <v>16300</v>
      </c>
      <c r="D43" s="5" t="s">
        <v>195</v>
      </c>
      <c r="E43" s="14" t="str">
        <f aca="false">IF(COUNTIF(모델별_비교!$E$4:$E$53,A43)&gt;0,"도면에 있음","도면에 없음")</f>
        <v>도면에 있음</v>
      </c>
    </row>
    <row r="44" customFormat="false" ht="15" hidden="false" customHeight="false" outlineLevel="0" collapsed="false">
      <c r="A44" s="13" t="s">
        <v>130</v>
      </c>
      <c r="B44" s="15" t="n">
        <v>23000</v>
      </c>
      <c r="C44" s="15" t="n">
        <v>25900</v>
      </c>
      <c r="D44" s="5" t="s">
        <v>195</v>
      </c>
      <c r="E44" s="14" t="str">
        <f aca="false">IF(COUNTIF(모델별_비교!$E$4:$E$53,A44)&gt;0,"도면에 있음","도면에 없음")</f>
        <v>도면에 있음</v>
      </c>
    </row>
    <row r="45" customFormat="false" ht="15" hidden="false" customHeight="false" outlineLevel="0" collapsed="false">
      <c r="A45" s="13" t="s">
        <v>132</v>
      </c>
      <c r="B45" s="15" t="n">
        <v>29000</v>
      </c>
      <c r="C45" s="15" t="n">
        <v>32600</v>
      </c>
      <c r="D45" s="5" t="s">
        <v>195</v>
      </c>
      <c r="E45" s="14" t="str">
        <f aca="false">IF(COUNTIF(모델별_비교!$E$4:$E$53,A45)&gt;0,"도면에 있음","도면에 없음")</f>
        <v>도면에 있음</v>
      </c>
    </row>
    <row r="46" customFormat="false" ht="15" hidden="false" customHeight="false" outlineLevel="0" collapsed="false">
      <c r="A46" s="13" t="s">
        <v>196</v>
      </c>
      <c r="B46" s="15" t="n">
        <v>2300</v>
      </c>
      <c r="C46" s="15" t="n">
        <v>2600</v>
      </c>
      <c r="D46" s="13" t="s">
        <v>197</v>
      </c>
      <c r="E46" s="14" t="str">
        <f aca="false">IF(COUNTIF(모델별_비교!$E$4:$E$53,A46)&gt;0,"도면에 있음","도면에 없음")</f>
        <v>도면에 없음</v>
      </c>
    </row>
    <row r="47" customFormat="false" ht="15" hidden="false" customHeight="false" outlineLevel="0" collapsed="false">
      <c r="A47" s="13" t="s">
        <v>198</v>
      </c>
      <c r="B47" s="15" t="n">
        <v>3200</v>
      </c>
      <c r="C47" s="15" t="n">
        <v>3600</v>
      </c>
      <c r="D47" s="13" t="s">
        <v>197</v>
      </c>
      <c r="E47" s="14" t="str">
        <f aca="false">IF(COUNTIF(모델별_비교!$E$4:$E$53,A47)&gt;0,"도면에 있음","도면에 없음")</f>
        <v>도면에 없음</v>
      </c>
    </row>
    <row r="48" customFormat="false" ht="15" hidden="false" customHeight="false" outlineLevel="0" collapsed="false">
      <c r="A48" s="13" t="s">
        <v>199</v>
      </c>
      <c r="B48" s="15" t="n">
        <v>4000</v>
      </c>
      <c r="C48" s="15" t="n">
        <v>4500</v>
      </c>
      <c r="D48" s="13" t="s">
        <v>197</v>
      </c>
      <c r="E48" s="14" t="str">
        <f aca="false">IF(COUNTIF(모델별_비교!$E$4:$E$53,A48)&gt;0,"도면에 있음","도면에 없음")</f>
        <v>도면에 없음</v>
      </c>
    </row>
    <row r="49" customFormat="false" ht="15" hidden="false" customHeight="false" outlineLevel="0" collapsed="false">
      <c r="A49" s="13" t="s">
        <v>200</v>
      </c>
      <c r="B49" s="15" t="n">
        <v>5200</v>
      </c>
      <c r="C49" s="15" t="n">
        <v>5900</v>
      </c>
      <c r="D49" s="13" t="s">
        <v>197</v>
      </c>
      <c r="E49" s="14" t="str">
        <f aca="false">IF(COUNTIF(모델별_비교!$E$4:$E$53,A49)&gt;0,"도면에 있음","도면에 없음")</f>
        <v>도면에 없음</v>
      </c>
    </row>
    <row r="50" customFormat="false" ht="15" hidden="false" customHeight="false" outlineLevel="0" collapsed="false">
      <c r="A50" s="13" t="s">
        <v>201</v>
      </c>
      <c r="B50" s="15" t="n">
        <v>6000</v>
      </c>
      <c r="C50" s="15" t="n">
        <v>6800</v>
      </c>
      <c r="D50" s="13" t="s">
        <v>197</v>
      </c>
      <c r="E50" s="14" t="str">
        <f aca="false">IF(COUNTIF(모델별_비교!$E$4:$E$53,A50)&gt;0,"도면에 있음","도면에 없음")</f>
        <v>도면에 없음</v>
      </c>
    </row>
    <row r="51" customFormat="false" ht="15" hidden="false" customHeight="false" outlineLevel="0" collapsed="false">
      <c r="A51" s="13" t="s">
        <v>202</v>
      </c>
      <c r="B51" s="15" t="n">
        <v>7200</v>
      </c>
      <c r="C51" s="15" t="n">
        <v>8100</v>
      </c>
      <c r="D51" s="13" t="s">
        <v>197</v>
      </c>
      <c r="E51" s="14" t="str">
        <f aca="false">IF(COUNTIF(모델별_비교!$E$4:$E$53,A51)&gt;0,"도면에 있음","도면에 없음")</f>
        <v>도면에 없음</v>
      </c>
    </row>
    <row r="52" customFormat="false" ht="15" hidden="false" customHeight="false" outlineLevel="0" collapsed="false">
      <c r="A52" s="13" t="s">
        <v>203</v>
      </c>
      <c r="B52" s="15" t="n">
        <v>2300</v>
      </c>
      <c r="C52" s="15" t="n">
        <v>2600</v>
      </c>
      <c r="D52" s="13" t="s">
        <v>204</v>
      </c>
      <c r="E52" s="14" t="str">
        <f aca="false">IF(COUNTIF(모델별_비교!$E$4:$E$53,A52)&gt;0,"도면에 있음","도면에 없음")</f>
        <v>도면에 없음</v>
      </c>
    </row>
    <row r="53" customFormat="false" ht="15" hidden="false" customHeight="false" outlineLevel="0" collapsed="false">
      <c r="A53" s="13" t="s">
        <v>205</v>
      </c>
      <c r="B53" s="15" t="n">
        <v>3200</v>
      </c>
      <c r="C53" s="15" t="n">
        <v>3600</v>
      </c>
      <c r="D53" s="13" t="s">
        <v>204</v>
      </c>
      <c r="E53" s="14" t="str">
        <f aca="false">IF(COUNTIF(모델별_비교!$E$4:$E$53,A53)&gt;0,"도면에 있음","도면에 없음")</f>
        <v>도면에 없음</v>
      </c>
    </row>
    <row r="54" customFormat="false" ht="15" hidden="false" customHeight="false" outlineLevel="0" collapsed="false">
      <c r="A54" s="13" t="s">
        <v>206</v>
      </c>
      <c r="B54" s="15" t="n">
        <v>4000</v>
      </c>
      <c r="C54" s="15" t="n">
        <v>4500</v>
      </c>
      <c r="D54" s="13" t="s">
        <v>204</v>
      </c>
      <c r="E54" s="14" t="str">
        <f aca="false">IF(COUNTIF(모델별_비교!$E$4:$E$53,A54)&gt;0,"도면에 있음","도면에 없음")</f>
        <v>도면에 없음</v>
      </c>
    </row>
    <row r="55" customFormat="false" ht="15" hidden="false" customHeight="false" outlineLevel="0" collapsed="false">
      <c r="A55" s="13" t="s">
        <v>207</v>
      </c>
      <c r="B55" s="15" t="n">
        <v>5200</v>
      </c>
      <c r="C55" s="15" t="n">
        <v>5900</v>
      </c>
      <c r="D55" s="13" t="s">
        <v>204</v>
      </c>
      <c r="E55" s="14" t="str">
        <f aca="false">IF(COUNTIF(모델별_비교!$E$4:$E$53,A55)&gt;0,"도면에 있음","도면에 없음")</f>
        <v>도면에 없음</v>
      </c>
    </row>
    <row r="56" customFormat="false" ht="15" hidden="false" customHeight="false" outlineLevel="0" collapsed="false">
      <c r="A56" s="13" t="s">
        <v>208</v>
      </c>
      <c r="B56" s="15" t="n">
        <v>6000</v>
      </c>
      <c r="C56" s="15" t="n">
        <v>6800</v>
      </c>
      <c r="D56" s="13" t="s">
        <v>204</v>
      </c>
      <c r="E56" s="14" t="str">
        <f aca="false">IF(COUNTIF(모델별_비교!$E$4:$E$53,A56)&gt;0,"도면에 있음","도면에 없음")</f>
        <v>도면에 없음</v>
      </c>
    </row>
    <row r="57" customFormat="false" ht="15" hidden="false" customHeight="false" outlineLevel="0" collapsed="false">
      <c r="A57" s="13" t="s">
        <v>209</v>
      </c>
      <c r="B57" s="15" t="n">
        <v>7200</v>
      </c>
      <c r="C57" s="15" t="n">
        <v>8100</v>
      </c>
      <c r="D57" s="13" t="s">
        <v>204</v>
      </c>
      <c r="E57" s="14" t="str">
        <f aca="false">IF(COUNTIF(모델별_비교!$E$4:$E$53,A57)&gt;0,"도면에 있음","도면에 없음")</f>
        <v>도면에 없음</v>
      </c>
    </row>
    <row r="58" customFormat="false" ht="15" hidden="false" customHeight="false" outlineLevel="0" collapsed="false">
      <c r="A58" s="13" t="s">
        <v>99</v>
      </c>
      <c r="B58" s="15" t="n">
        <v>2300</v>
      </c>
      <c r="C58" s="15" t="n">
        <v>2600</v>
      </c>
      <c r="D58" s="5" t="s">
        <v>98</v>
      </c>
      <c r="E58" s="14" t="str">
        <f aca="false">IF(COUNTIF(모델별_비교!$E$4:$E$53,A58)&gt;0,"도면에 있음","도면에 없음")</f>
        <v>도면에 있음</v>
      </c>
    </row>
    <row r="59" customFormat="false" ht="15" hidden="false" customHeight="false" outlineLevel="0" collapsed="false">
      <c r="A59" s="13" t="s">
        <v>101</v>
      </c>
      <c r="B59" s="15" t="n">
        <v>3200</v>
      </c>
      <c r="C59" s="15" t="n">
        <v>3600</v>
      </c>
      <c r="D59" s="5" t="s">
        <v>98</v>
      </c>
      <c r="E59" s="14" t="str">
        <f aca="false">IF(COUNTIF(모델별_비교!$E$4:$E$53,A59)&gt;0,"도면에 있음","도면에 없음")</f>
        <v>도면에 있음</v>
      </c>
    </row>
    <row r="60" customFormat="false" ht="15" hidden="false" customHeight="false" outlineLevel="0" collapsed="false">
      <c r="A60" s="13" t="s">
        <v>103</v>
      </c>
      <c r="B60" s="15" t="n">
        <v>4000</v>
      </c>
      <c r="C60" s="15" t="n">
        <v>4500</v>
      </c>
      <c r="D60" s="5" t="s">
        <v>98</v>
      </c>
      <c r="E60" s="14" t="str">
        <f aca="false">IF(COUNTIF(모델별_비교!$E$4:$E$53,A60)&gt;0,"도면에 있음","도면에 없음")</f>
        <v>도면에 있음</v>
      </c>
    </row>
    <row r="61" customFormat="false" ht="15" hidden="false" customHeight="false" outlineLevel="0" collapsed="false">
      <c r="A61" s="13" t="s">
        <v>105</v>
      </c>
      <c r="B61" s="15" t="n">
        <v>5200</v>
      </c>
      <c r="C61" s="15" t="n">
        <v>5900</v>
      </c>
      <c r="D61" s="5" t="s">
        <v>98</v>
      </c>
      <c r="E61" s="14" t="str">
        <f aca="false">IF(COUNTIF(모델별_비교!$E$4:$E$53,A61)&gt;0,"도면에 있음","도면에 없음")</f>
        <v>도면에 있음</v>
      </c>
    </row>
    <row r="62" customFormat="false" ht="15" hidden="false" customHeight="false" outlineLevel="0" collapsed="false">
      <c r="A62" s="13" t="s">
        <v>108</v>
      </c>
      <c r="B62" s="15" t="n">
        <v>14500</v>
      </c>
      <c r="C62" s="15" t="n">
        <v>16300</v>
      </c>
      <c r="D62" s="5" t="s">
        <v>107</v>
      </c>
      <c r="E62" s="14" t="str">
        <f aca="false">IF(COUNTIF(모델별_비교!$E$4:$E$53,A62)&gt;0,"도면에 있음","도면에 없음")</f>
        <v>도면에 있음</v>
      </c>
    </row>
    <row r="63" customFormat="false" ht="15" hidden="false" customHeight="false" outlineLevel="0" collapsed="false">
      <c r="A63" s="13" t="s">
        <v>110</v>
      </c>
      <c r="B63" s="15" t="n">
        <v>29000</v>
      </c>
      <c r="C63" s="15" t="n">
        <v>32600</v>
      </c>
      <c r="D63" s="5" t="s">
        <v>107</v>
      </c>
      <c r="E63" s="14" t="str">
        <f aca="false">IF(COUNTIF(모델별_비교!$E$4:$E$53,A63)&gt;0,"도면에 있음","도면에 없음")</f>
        <v>도면에 있음</v>
      </c>
    </row>
    <row r="64" customFormat="false" ht="15" hidden="false" customHeight="false" outlineLevel="0" collapsed="false">
      <c r="A64" s="13" t="s">
        <v>210</v>
      </c>
      <c r="B64" s="15" t="n">
        <v>7200</v>
      </c>
      <c r="C64" s="15" t="n">
        <v>8100</v>
      </c>
      <c r="D64" s="5" t="s">
        <v>211</v>
      </c>
      <c r="E64" s="14" t="str">
        <f aca="false">IF(COUNTIF(모델별_비교!$E$4:$E$53,A64)&gt;0,"도면에 있음","도면에 없음")</f>
        <v>도면에 없음</v>
      </c>
    </row>
    <row r="65" customFormat="false" ht="15" hidden="false" customHeight="false" outlineLevel="0" collapsed="false">
      <c r="A65" s="13" t="s">
        <v>212</v>
      </c>
      <c r="B65" s="15" t="n">
        <v>14500</v>
      </c>
      <c r="C65" s="15" t="n">
        <v>16300</v>
      </c>
      <c r="D65" s="5" t="s">
        <v>211</v>
      </c>
      <c r="E65" s="14" t="str">
        <f aca="false">IF(COUNTIF(모델별_비교!$E$4:$E$53,A65)&gt;0,"도면에 있음","도면에 없음")</f>
        <v>도면에 없음</v>
      </c>
    </row>
    <row r="66" customFormat="false" ht="15" hidden="false" customHeight="false" outlineLevel="0" collapsed="false">
      <c r="A66" s="13" t="s">
        <v>151</v>
      </c>
      <c r="B66" s="15" t="n">
        <v>7200</v>
      </c>
      <c r="C66" s="15" t="n">
        <v>8100</v>
      </c>
      <c r="D66" s="5" t="s">
        <v>150</v>
      </c>
      <c r="E66" s="14" t="str">
        <f aca="false">IF(COUNTIF(모델별_비교!$E$4:$E$53,A66)&gt;0,"도면에 있음","도면에 없음")</f>
        <v>도면에 있음</v>
      </c>
    </row>
    <row r="67" customFormat="false" ht="15" hidden="false" customHeight="false" outlineLevel="0" collapsed="false">
      <c r="A67" s="13" t="s">
        <v>153</v>
      </c>
      <c r="B67" s="15" t="n">
        <v>8300</v>
      </c>
      <c r="C67" s="15" t="n">
        <v>9300</v>
      </c>
      <c r="D67" s="5" t="s">
        <v>150</v>
      </c>
      <c r="E67" s="14" t="str">
        <f aca="false">IF(COUNTIF(모델별_비교!$E$4:$E$53,A67)&gt;0,"도면에 있음","도면에 없음")</f>
        <v>도면에 있음</v>
      </c>
    </row>
    <row r="68" customFormat="false" ht="15" hidden="false" customHeight="false" outlineLevel="0" collapsed="false">
      <c r="A68" s="13" t="s">
        <v>155</v>
      </c>
      <c r="B68" s="15" t="n">
        <v>11000</v>
      </c>
      <c r="C68" s="15" t="n">
        <v>12400</v>
      </c>
      <c r="D68" s="5" t="s">
        <v>150</v>
      </c>
      <c r="E68" s="14" t="str">
        <f aca="false">IF(COUNTIF(모델별_비교!$E$4:$E$53,A68)&gt;0,"도면에 있음","도면에 없음")</f>
        <v>도면에 있음</v>
      </c>
    </row>
    <row r="69" customFormat="false" ht="15" hidden="false" customHeight="false" outlineLevel="0" collapsed="false">
      <c r="A69" s="13" t="s">
        <v>157</v>
      </c>
      <c r="B69" s="15" t="n">
        <v>14500</v>
      </c>
      <c r="C69" s="15" t="n">
        <v>16300</v>
      </c>
      <c r="D69" s="5" t="s">
        <v>150</v>
      </c>
      <c r="E69" s="14" t="str">
        <f aca="false">IF(COUNTIF(모델별_비교!$E$4:$E$53,A69)&gt;0,"도면에 있음","도면에 없음")</f>
        <v>도면에 있음</v>
      </c>
    </row>
    <row r="70" customFormat="false" ht="15" hidden="false" customHeight="false" outlineLevel="0" collapsed="false">
      <c r="A70" s="13" t="s">
        <v>142</v>
      </c>
      <c r="B70" s="15" t="n">
        <v>7200</v>
      </c>
      <c r="C70" s="15" t="n">
        <v>8100</v>
      </c>
      <c r="D70" s="5" t="s">
        <v>141</v>
      </c>
      <c r="E70" s="14" t="str">
        <f aca="false">IF(COUNTIF(모델별_비교!$E$4:$E$53,A70)&gt;0,"도면에 있음","도면에 없음")</f>
        <v>도면에 있음</v>
      </c>
    </row>
    <row r="71" customFormat="false" ht="15" hidden="false" customHeight="false" outlineLevel="0" collapsed="false">
      <c r="A71" s="13" t="s">
        <v>144</v>
      </c>
      <c r="B71" s="15" t="n">
        <v>8300</v>
      </c>
      <c r="C71" s="15" t="n">
        <v>9300</v>
      </c>
      <c r="D71" s="5" t="s">
        <v>141</v>
      </c>
      <c r="E71" s="14" t="str">
        <f aca="false">IF(COUNTIF(모델별_비교!$E$4:$E$53,A71)&gt;0,"도면에 있음","도면에 없음")</f>
        <v>도면에 있음</v>
      </c>
    </row>
    <row r="72" customFormat="false" ht="15" hidden="false" customHeight="false" outlineLevel="0" collapsed="false">
      <c r="A72" s="13" t="s">
        <v>146</v>
      </c>
      <c r="B72" s="15" t="n">
        <v>11000</v>
      </c>
      <c r="C72" s="15" t="n">
        <v>12400</v>
      </c>
      <c r="D72" s="5" t="s">
        <v>141</v>
      </c>
      <c r="E72" s="14" t="str">
        <f aca="false">IF(COUNTIF(모델별_비교!$E$4:$E$53,A72)&gt;0,"도면에 있음","도면에 없음")</f>
        <v>도면에 있음</v>
      </c>
    </row>
    <row r="73" customFormat="false" ht="15" hidden="false" customHeight="false" outlineLevel="0" collapsed="false">
      <c r="A73" s="13" t="s">
        <v>148</v>
      </c>
      <c r="B73" s="15" t="n">
        <v>14500</v>
      </c>
      <c r="C73" s="15" t="n">
        <v>16300</v>
      </c>
      <c r="D73" s="5" t="s">
        <v>141</v>
      </c>
      <c r="E73" s="14" t="str">
        <f aca="false">IF(COUNTIF(모델별_비교!$E$4:$E$53,A73)&gt;0,"도면에 있음","도면에 없음")</f>
        <v>도면에 있음</v>
      </c>
    </row>
  </sheetData>
  <conditionalFormatting sqref="E3:E73">
    <cfRule type="cellIs" priority="2" operator="equal" aboveAverage="0" equalAverage="0" bottom="0" percent="0" rank="0" text="" dxfId="0">
      <formula>"도면에 있음"</formula>
    </cfRule>
    <cfRule type="cellIs" priority="3" operator="equal" aboveAverage="0" equalAverage="0" bottom="0" percent="0" rank="0" text="" dxfId="2">
      <formula>"도면에 없음"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52"/>
  </cols>
  <sheetData>
    <row r="1" customFormat="false" ht="19.4" hidden="false" customHeight="false" outlineLevel="0" collapsed="false">
      <c r="A1" s="16" t="s">
        <v>213</v>
      </c>
    </row>
    <row r="2" customFormat="false" ht="15" hidden="false" customHeight="false" outlineLevel="0" collapsed="false">
      <c r="A2" s="11" t="s">
        <v>214</v>
      </c>
      <c r="B2" s="11" t="s">
        <v>215</v>
      </c>
      <c r="C2" s="11" t="s">
        <v>216</v>
      </c>
      <c r="D2" s="11" t="s">
        <v>217</v>
      </c>
      <c r="E2" s="11" t="s">
        <v>44</v>
      </c>
    </row>
    <row r="3" customFormat="false" ht="15" hidden="false" customHeight="false" outlineLevel="0" collapsed="false">
      <c r="A3" s="5" t="s">
        <v>159</v>
      </c>
      <c r="B3" s="12" t="s">
        <v>218</v>
      </c>
      <c r="C3" s="12" t="s">
        <v>218</v>
      </c>
      <c r="D3" s="17" t="s">
        <v>219</v>
      </c>
      <c r="E3" s="5" t="s">
        <v>220</v>
      </c>
    </row>
    <row r="4" customFormat="false" ht="15" hidden="false" customHeight="false" outlineLevel="0" collapsed="false">
      <c r="A4" s="5" t="s">
        <v>221</v>
      </c>
      <c r="B4" s="12" t="s">
        <v>218</v>
      </c>
      <c r="C4" s="12" t="s">
        <v>218</v>
      </c>
      <c r="D4" s="17" t="s">
        <v>219</v>
      </c>
      <c r="E4" s="5" t="s">
        <v>222</v>
      </c>
    </row>
    <row r="5" customFormat="false" ht="15" hidden="false" customHeight="false" outlineLevel="0" collapsed="false">
      <c r="A5" s="5" t="s">
        <v>223</v>
      </c>
      <c r="B5" s="12" t="s">
        <v>218</v>
      </c>
      <c r="C5" s="12" t="s">
        <v>218</v>
      </c>
      <c r="D5" s="17" t="s">
        <v>219</v>
      </c>
      <c r="E5" s="5" t="s">
        <v>222</v>
      </c>
    </row>
    <row r="6" customFormat="false" ht="15" hidden="false" customHeight="false" outlineLevel="0" collapsed="false">
      <c r="A6" s="5" t="s">
        <v>224</v>
      </c>
      <c r="B6" s="12" t="s">
        <v>218</v>
      </c>
      <c r="C6" s="12" t="s">
        <v>225</v>
      </c>
      <c r="D6" s="18" t="s">
        <v>226</v>
      </c>
      <c r="E6" s="5" t="s">
        <v>227</v>
      </c>
    </row>
    <row r="7" customFormat="false" ht="15" hidden="false" customHeight="false" outlineLevel="0" collapsed="false">
      <c r="A7" s="5" t="s">
        <v>228</v>
      </c>
      <c r="B7" s="12" t="s">
        <v>218</v>
      </c>
      <c r="C7" s="12" t="s">
        <v>229</v>
      </c>
      <c r="D7" s="18" t="s">
        <v>226</v>
      </c>
      <c r="E7" s="5" t="s">
        <v>230</v>
      </c>
    </row>
    <row r="8" customFormat="false" ht="15" hidden="false" customHeight="false" outlineLevel="0" collapsed="false">
      <c r="A8" s="5" t="s">
        <v>231</v>
      </c>
      <c r="B8" s="12" t="s">
        <v>218</v>
      </c>
      <c r="C8" s="12" t="s">
        <v>225</v>
      </c>
      <c r="D8" s="18" t="s">
        <v>226</v>
      </c>
      <c r="E8" s="5"/>
    </row>
    <row r="9" customFormat="false" ht="15" hidden="false" customHeight="false" outlineLevel="0" collapsed="false">
      <c r="A9" s="5" t="s">
        <v>232</v>
      </c>
      <c r="B9" s="12" t="s">
        <v>218</v>
      </c>
      <c r="C9" s="12" t="s">
        <v>225</v>
      </c>
      <c r="D9" s="18" t="s">
        <v>226</v>
      </c>
      <c r="E9" s="5"/>
    </row>
    <row r="10" customFormat="false" ht="15" hidden="false" customHeight="false" outlineLevel="0" collapsed="false">
      <c r="A10" s="5" t="s">
        <v>233</v>
      </c>
      <c r="B10" s="12" t="s">
        <v>218</v>
      </c>
      <c r="C10" s="12" t="s">
        <v>225</v>
      </c>
      <c r="D10" s="18" t="s">
        <v>226</v>
      </c>
      <c r="E10" s="5"/>
    </row>
    <row r="11" customFormat="false" ht="15" hidden="false" customHeight="false" outlineLevel="0" collapsed="false">
      <c r="A11" s="5" t="s">
        <v>234</v>
      </c>
      <c r="B11" s="12" t="s">
        <v>218</v>
      </c>
      <c r="C11" s="12" t="s">
        <v>225</v>
      </c>
      <c r="D11" s="18" t="s">
        <v>226</v>
      </c>
      <c r="E11" s="5"/>
    </row>
    <row r="12" customFormat="false" ht="15" hidden="false" customHeight="false" outlineLevel="0" collapsed="false">
      <c r="A12" s="5" t="s">
        <v>235</v>
      </c>
      <c r="B12" s="12" t="s">
        <v>218</v>
      </c>
      <c r="C12" s="12" t="s">
        <v>225</v>
      </c>
      <c r="D12" s="18" t="s">
        <v>226</v>
      </c>
      <c r="E12" s="5"/>
    </row>
    <row r="13" customFormat="false" ht="15" hidden="false" customHeight="false" outlineLevel="0" collapsed="false">
      <c r="A13" s="5" t="s">
        <v>236</v>
      </c>
      <c r="B13" s="12" t="s">
        <v>218</v>
      </c>
      <c r="C13" s="12" t="s">
        <v>225</v>
      </c>
      <c r="D13" s="18" t="s">
        <v>226</v>
      </c>
      <c r="E13" s="5"/>
    </row>
    <row r="14" customFormat="false" ht="15" hidden="false" customHeight="false" outlineLevel="0" collapsed="false">
      <c r="A14" s="5" t="s">
        <v>237</v>
      </c>
      <c r="B14" s="12" t="s">
        <v>218</v>
      </c>
      <c r="C14" s="12" t="s">
        <v>225</v>
      </c>
      <c r="D14" s="18" t="s">
        <v>226</v>
      </c>
      <c r="E14" s="5"/>
    </row>
    <row r="15" customFormat="false" ht="15" hidden="false" customHeight="false" outlineLevel="0" collapsed="false">
      <c r="A15" s="5" t="s">
        <v>238</v>
      </c>
      <c r="B15" s="12" t="s">
        <v>218</v>
      </c>
      <c r="C15" s="12" t="s">
        <v>225</v>
      </c>
      <c r="D15" s="18" t="s">
        <v>226</v>
      </c>
      <c r="E15" s="5"/>
    </row>
    <row r="16" customFormat="false" ht="15" hidden="false" customHeight="false" outlineLevel="0" collapsed="false">
      <c r="A16" s="5" t="s">
        <v>239</v>
      </c>
      <c r="B16" s="12" t="s">
        <v>218</v>
      </c>
      <c r="C16" s="12" t="s">
        <v>225</v>
      </c>
      <c r="D16" s="18" t="s">
        <v>226</v>
      </c>
      <c r="E16" s="5"/>
    </row>
    <row r="17" customFormat="false" ht="15" hidden="false" customHeight="false" outlineLevel="0" collapsed="false">
      <c r="A17" s="5" t="s">
        <v>240</v>
      </c>
      <c r="B17" s="12" t="s">
        <v>218</v>
      </c>
      <c r="C17" s="12" t="s">
        <v>225</v>
      </c>
      <c r="D17" s="18" t="s">
        <v>226</v>
      </c>
      <c r="E17" s="5"/>
    </row>
    <row r="18" customFormat="false" ht="15" hidden="false" customHeight="false" outlineLevel="0" collapsed="false">
      <c r="A18" s="5" t="s">
        <v>241</v>
      </c>
      <c r="B18" s="12" t="s">
        <v>225</v>
      </c>
      <c r="C18" s="12" t="s">
        <v>218</v>
      </c>
      <c r="D18" s="19" t="s">
        <v>242</v>
      </c>
      <c r="E18" s="5" t="s">
        <v>243</v>
      </c>
    </row>
    <row r="19" customFormat="false" ht="15" hidden="false" customHeight="false" outlineLevel="0" collapsed="false">
      <c r="A19" s="5" t="s">
        <v>244</v>
      </c>
      <c r="B19" s="12" t="s">
        <v>225</v>
      </c>
      <c r="C19" s="12" t="s">
        <v>218</v>
      </c>
      <c r="D19" s="19" t="s">
        <v>242</v>
      </c>
      <c r="E19" s="5"/>
    </row>
    <row r="20" customFormat="false" ht="15" hidden="false" customHeight="false" outlineLevel="0" collapsed="false">
      <c r="A20" s="5" t="s">
        <v>245</v>
      </c>
      <c r="B20" s="12" t="s">
        <v>225</v>
      </c>
      <c r="C20" s="12" t="s">
        <v>218</v>
      </c>
      <c r="D20" s="19" t="s">
        <v>242</v>
      </c>
      <c r="E2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2026-07-09T01:54:10Z</dcterms:created>
  <dc:creator>openpyxl</dc:creator>
  <dc:description/>
  <dc:language>en-US</dc:language>
  <cp:lastModifiedBy/>
  <dcterms:modified xsi:type="dcterms:W3CDTF">2026-07-09T01:54:10Z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