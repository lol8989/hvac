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현재_통합_문서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olfr\Desktop\도면검도시스템\"/>
    </mc:Choice>
  </mc:AlternateContent>
  <xr:revisionPtr revIDLastSave="0" documentId="13_ncr:1_{7049B0B4-1784-4D95-8AE8-7E7B1DFDBA26}" xr6:coauthVersionLast="47" xr6:coauthVersionMax="47" xr10:uidLastSave="{00000000-0000-0000-0000-000000000000}"/>
  <bookViews>
    <workbookView xWindow="4545" yWindow="4545" windowWidth="28800" windowHeight="15345" tabRatio="840" xr2:uid="{00000000-000D-0000-FFFF-FFFF00000000}"/>
  </bookViews>
  <sheets>
    <sheet name="LG제품" sheetId="13" r:id="rId1"/>
    <sheet name="eco-V" sheetId="18" r:id="rId2"/>
    <sheet name="Multi V Super,GHP" sheetId="20" r:id="rId3"/>
    <sheet name="DOAS" sheetId="50" r:id="rId4"/>
    <sheet name="하이브리드" sheetId="49" r:id="rId5"/>
    <sheet name="Mini, Multi V S" sheetId="27" r:id="rId6"/>
    <sheet name="수냉식" sheetId="39" r:id="rId7"/>
    <sheet name="지열(인증)" sheetId="41" r:id="rId8"/>
    <sheet name="All in 1" sheetId="45" r:id="rId9"/>
    <sheet name="중대형" sheetId="47" r:id="rId10"/>
    <sheet name="싱글" sheetId="48" r:id="rId11"/>
  </sheets>
  <externalReferences>
    <externalReference r:id="rId12"/>
  </externalReferences>
  <definedNames>
    <definedName name="_xlnm._FilterDatabase" localSheetId="8" hidden="1">'All in 1'!$A$3:$U$4</definedName>
    <definedName name="_xlnm._FilterDatabase" localSheetId="3" hidden="1">DOAS!$A$3:$U$4</definedName>
    <definedName name="_xlnm._FilterDatabase" localSheetId="5" hidden="1">'Mini, Multi V S'!$A$3:$U$4</definedName>
    <definedName name="_xlnm._FilterDatabase" localSheetId="2" hidden="1">'Multi V Super,GHP'!$A$3:$U$4</definedName>
    <definedName name="_xlnm._FilterDatabase" localSheetId="6" hidden="1">수냉식!$A$3:$U$4</definedName>
    <definedName name="_xlnm._FilterDatabase" localSheetId="10" hidden="1">싱글!$A$3:$T$4</definedName>
    <definedName name="_xlnm._FilterDatabase" localSheetId="9" hidden="1">중대형!$A$3:$T$4</definedName>
    <definedName name="_xlnm._FilterDatabase" localSheetId="7" hidden="1">'지열(인증)'!$K$1:$K$2158</definedName>
    <definedName name="_xlnm._FilterDatabase" localSheetId="4" hidden="1">하이브리드!$A$3:$U$4</definedName>
    <definedName name="AccessDatabase" hidden="1">"E:\WORK\VISUAL\MIRAE\LOADSYS\LoadDB.mdb"</definedName>
    <definedName name="All실내기">LG제품!$M$1:$M$27</definedName>
    <definedName name="All실외기">LG제품!#REF!,LG제품!$Q$3:$Q$7</definedName>
    <definedName name="_xlnm.Extract" localSheetId="8">'All in 1'!$K$5</definedName>
    <definedName name="_xlnm.Extract" localSheetId="2">'Multi V Super,GHP'!$K$5</definedName>
    <definedName name="_xlnm.Extract" localSheetId="6">수냉식!$K$5</definedName>
    <definedName name="_xlnm.Extract" localSheetId="10">싱글!#REF!</definedName>
    <definedName name="_xlnm.Extract" localSheetId="9">중대형!#REF!</definedName>
    <definedName name="_xlnm.Extract" localSheetId="7">'지열(인증)'!$K$5</definedName>
    <definedName name="_xlnm.Extract" localSheetId="4">하이브리드!$K$5</definedName>
    <definedName name="H실외기" localSheetId="5">LG제품!$I$65:$I$78</definedName>
    <definedName name="LRP_N4608V2" localSheetId="8">#REF!</definedName>
    <definedName name="LRP_N4608V2" localSheetId="10">#REF!</definedName>
    <definedName name="LRP_N4608V2" localSheetId="9">#REF!</definedName>
    <definedName name="LRP_N4608V2" localSheetId="7">#REF!</definedName>
    <definedName name="LRP_N4608V2" localSheetId="4">#REF!</definedName>
    <definedName name="LRP_N4608V2">#REF!</definedName>
    <definedName name="LT_C831SH" localSheetId="8">#REF!</definedName>
    <definedName name="LT_C831SH" localSheetId="10">#REF!</definedName>
    <definedName name="LT_C831SH" localSheetId="9">#REF!</definedName>
    <definedName name="LT_C831SH" localSheetId="7">#REF!</definedName>
    <definedName name="LT_C831SH" localSheetId="4">#REF!</definedName>
    <definedName name="LT_C831SH">#REF!</definedName>
    <definedName name="Mini실외기">LG제품!$I$3:$I$39</definedName>
    <definedName name="M실내기" localSheetId="5">LG제품!$A$3:$A$271</definedName>
    <definedName name="M실내기">LG제품!$A$3:$A$271</definedName>
    <definedName name="_xlnm.Print_Titles" localSheetId="8">'All in 1'!$3:$4</definedName>
    <definedName name="_xlnm.Print_Titles" localSheetId="1">'eco-V'!#REF!</definedName>
    <definedName name="_xlnm.Print_Titles" localSheetId="2">'Multi V Super,GHP'!$3:$4</definedName>
    <definedName name="_xlnm.Print_Titles" localSheetId="6">수냉식!$3:$4</definedName>
    <definedName name="_xlnm.Print_Titles" localSheetId="10">싱글!$3:$4</definedName>
    <definedName name="_xlnm.Print_Titles" localSheetId="9">중대형!$3:$4</definedName>
    <definedName name="_xlnm.Print_Titles" localSheetId="7">'지열(인증)'!$3:$4</definedName>
    <definedName name="_xlnm.Print_Titles" localSheetId="4">하이브리드!$3:$4</definedName>
    <definedName name="Sp3실외기">LG제품!$E$3:$E$244</definedName>
    <definedName name="Space실외기" localSheetId="4">LG제품!#REF!</definedName>
    <definedName name="Space실외기">LG제품!#REF!</definedName>
    <definedName name="W실외기">LG제품!$I$40:$I$64</definedName>
    <definedName name="도아스">LG제품!$A$74:$A$81</definedName>
    <definedName name="도아스실외기동시형">LG제품!$I$80:$I$109</definedName>
    <definedName name="동시형실외기">LG제품!$I$82:$I$109</definedName>
    <definedName name="슈퍼4" localSheetId="8">LG제품!#REF!</definedName>
    <definedName name="슈퍼4" localSheetId="6">LG제품!#REF!</definedName>
    <definedName name="슈퍼4" localSheetId="10">LG제품!#REF!</definedName>
    <definedName name="슈퍼4" localSheetId="9">LG제품!#REF!</definedName>
    <definedName name="슈퍼4" localSheetId="7">LG제품!#REF!</definedName>
    <definedName name="슈퍼4" localSheetId="4">LG제품!#REF!</definedName>
    <definedName name="슈퍼4">LG제품!#REF!</definedName>
    <definedName name="실내기" localSheetId="1">'eco-V'!#REF!</definedName>
    <definedName name="실외기" localSheetId="1">'eco-V'!#REF!</definedName>
    <definedName name="싱글">LG제품!$Q$89:$Q$145</definedName>
    <definedName name="중대형">LG제품!$Q$11:$Q$50</definedName>
    <definedName name="지열실외기">LG제품!$I$66:$I$78</definedName>
    <definedName name="지열인증실내기">LG제품!$V$2:$V$53</definedName>
    <definedName name="지열인증실외기">LG제품!$Z$3:$Z$11</definedName>
    <definedName name="항온항습기">[1]LG제품!$A$77:$A$82</definedName>
    <definedName name="환기">LG제품!$E$248:$E$267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6" i="18" l="1"/>
  <c r="P25" i="18"/>
  <c r="P24" i="18"/>
  <c r="P23" i="18"/>
  <c r="P22" i="18"/>
  <c r="U34" i="41" l="1"/>
  <c r="V34" i="41" s="1"/>
  <c r="V33" i="41"/>
  <c r="U33" i="41"/>
  <c r="V32" i="41"/>
  <c r="U32" i="41"/>
  <c r="V30" i="41"/>
  <c r="U30" i="41"/>
  <c r="U29" i="41"/>
  <c r="V29" i="41" s="1"/>
  <c r="V28" i="41"/>
  <c r="U28" i="41"/>
  <c r="V27" i="41"/>
  <c r="U27" i="41"/>
  <c r="U45" i="39"/>
  <c r="V45" i="39" s="1"/>
  <c r="U44" i="39"/>
  <c r="V44" i="39" s="1"/>
  <c r="U43" i="39"/>
  <c r="V43" i="39" s="1"/>
  <c r="U42" i="39"/>
  <c r="V42" i="39" s="1"/>
  <c r="U41" i="39"/>
  <c r="V41" i="39" s="1"/>
  <c r="U40" i="39"/>
  <c r="V40" i="39" s="1"/>
  <c r="U39" i="39"/>
  <c r="V39" i="39" s="1"/>
  <c r="U38" i="39"/>
  <c r="V38" i="39" s="1"/>
  <c r="U37" i="39"/>
  <c r="V37" i="39" s="1"/>
  <c r="U36" i="39"/>
  <c r="V36" i="39" s="1"/>
  <c r="U35" i="39"/>
  <c r="V35" i="39" s="1"/>
  <c r="U34" i="39"/>
  <c r="V34" i="39" s="1"/>
  <c r="U33" i="39"/>
  <c r="V33" i="39" s="1"/>
  <c r="U32" i="39"/>
  <c r="V32" i="39" s="1"/>
  <c r="U31" i="39"/>
  <c r="V31" i="39" s="1"/>
  <c r="U30" i="39"/>
  <c r="V30" i="39" s="1"/>
  <c r="U29" i="39"/>
  <c r="V29" i="39" s="1"/>
  <c r="U28" i="39"/>
  <c r="V28" i="39" s="1"/>
  <c r="U27" i="39"/>
  <c r="V27" i="39" s="1"/>
  <c r="U43" i="27"/>
  <c r="V43" i="27" s="1"/>
  <c r="U42" i="27"/>
  <c r="U41" i="27"/>
  <c r="U40" i="27"/>
  <c r="U39" i="27"/>
  <c r="U38" i="27"/>
  <c r="U37" i="27"/>
  <c r="U36" i="27"/>
  <c r="U33" i="27"/>
  <c r="U32" i="27"/>
  <c r="U31" i="27"/>
  <c r="U30" i="27"/>
  <c r="U29" i="27"/>
  <c r="U28" i="27"/>
  <c r="U27" i="27"/>
  <c r="U26" i="27"/>
  <c r="U25" i="27"/>
  <c r="U24" i="27"/>
  <c r="U23" i="27"/>
  <c r="U22" i="27"/>
  <c r="U21" i="27"/>
  <c r="U20" i="27"/>
  <c r="U43" i="49"/>
  <c r="V43" i="49" s="1"/>
  <c r="U42" i="49"/>
  <c r="V42" i="49" s="1"/>
  <c r="U41" i="49"/>
  <c r="V41" i="49" s="1"/>
  <c r="U40" i="49"/>
  <c r="V40" i="49" s="1"/>
  <c r="U39" i="49"/>
  <c r="V39" i="49" s="1"/>
  <c r="U38" i="49"/>
  <c r="V38" i="49" s="1"/>
  <c r="U37" i="49"/>
  <c r="V37" i="49" s="1"/>
  <c r="U36" i="49"/>
  <c r="V36" i="49" s="1"/>
  <c r="U35" i="49"/>
  <c r="V35" i="49" s="1"/>
  <c r="U34" i="49"/>
  <c r="V34" i="49" s="1"/>
  <c r="U33" i="49"/>
  <c r="V33" i="49" s="1"/>
  <c r="U32" i="49"/>
  <c r="V32" i="49" s="1"/>
  <c r="U31" i="49"/>
  <c r="V31" i="49" s="1"/>
  <c r="U30" i="49"/>
  <c r="V30" i="49" s="1"/>
  <c r="U29" i="49"/>
  <c r="V29" i="49" s="1"/>
  <c r="U28" i="49"/>
  <c r="V28" i="49" s="1"/>
  <c r="V44" i="49" s="1"/>
  <c r="V47" i="50"/>
  <c r="U47" i="50"/>
  <c r="U46" i="50"/>
  <c r="V46" i="50" s="1"/>
  <c r="U45" i="50"/>
  <c r="V45" i="50" s="1"/>
  <c r="V44" i="50"/>
  <c r="U44" i="50"/>
  <c r="V43" i="50"/>
  <c r="U43" i="50"/>
  <c r="U42" i="50"/>
  <c r="V42" i="50" s="1"/>
  <c r="U41" i="50"/>
  <c r="V41" i="50" s="1"/>
  <c r="V40" i="50"/>
  <c r="U40" i="50"/>
  <c r="V39" i="50"/>
  <c r="U39" i="50"/>
  <c r="U38" i="50"/>
  <c r="V38" i="50" s="1"/>
  <c r="U37" i="50"/>
  <c r="V37" i="50" s="1"/>
  <c r="V36" i="50"/>
  <c r="U36" i="50"/>
  <c r="V35" i="50"/>
  <c r="U35" i="50"/>
  <c r="U34" i="50"/>
  <c r="V34" i="50" s="1"/>
  <c r="U33" i="50"/>
  <c r="V33" i="50" s="1"/>
  <c r="V32" i="50"/>
  <c r="U32" i="50"/>
  <c r="V31" i="50"/>
  <c r="U31" i="50"/>
  <c r="U30" i="50"/>
  <c r="V30" i="50" s="1"/>
  <c r="U29" i="50"/>
  <c r="V29" i="50" s="1"/>
  <c r="V28" i="50"/>
  <c r="U28" i="50"/>
  <c r="V27" i="50"/>
  <c r="U27" i="50"/>
  <c r="U24" i="50"/>
  <c r="V24" i="50" s="1"/>
  <c r="U21" i="50"/>
  <c r="V21" i="50" s="1"/>
  <c r="V20" i="50"/>
  <c r="U20" i="50"/>
  <c r="V19" i="50"/>
  <c r="U19" i="50"/>
  <c r="U48" i="20"/>
  <c r="V48" i="20" s="1"/>
  <c r="U47" i="20"/>
  <c r="V47" i="20" s="1"/>
  <c r="U46" i="20"/>
  <c r="V46" i="20" s="1"/>
  <c r="U45" i="20"/>
  <c r="V45" i="20" s="1"/>
  <c r="U44" i="20"/>
  <c r="V44" i="20" s="1"/>
  <c r="U43" i="20"/>
  <c r="V43" i="20" s="1"/>
  <c r="U42" i="20"/>
  <c r="V42" i="20" s="1"/>
  <c r="U41" i="20"/>
  <c r="V41" i="20" s="1"/>
  <c r="U40" i="20"/>
  <c r="V40" i="20" s="1"/>
  <c r="U39" i="20"/>
  <c r="V39" i="20" s="1"/>
  <c r="U38" i="20"/>
  <c r="V38" i="20" s="1"/>
  <c r="U37" i="20"/>
  <c r="V37" i="20" s="1"/>
  <c r="U36" i="20"/>
  <c r="V36" i="20" s="1"/>
  <c r="U35" i="20"/>
  <c r="V35" i="20" s="1"/>
  <c r="U34" i="20"/>
  <c r="V34" i="20" s="1"/>
  <c r="U33" i="20"/>
  <c r="V33" i="20" s="1"/>
  <c r="U32" i="20"/>
  <c r="V32" i="20" s="1"/>
  <c r="U31" i="20"/>
  <c r="V31" i="20" s="1"/>
  <c r="U30" i="20"/>
  <c r="V30" i="20" s="1"/>
  <c r="U29" i="20"/>
  <c r="V29" i="20" s="1"/>
  <c r="U28" i="20"/>
  <c r="V28" i="20" s="1"/>
  <c r="V35" i="41" l="1"/>
  <c r="V46" i="39"/>
  <c r="V48" i="50"/>
  <c r="V49" i="20"/>
  <c r="M7" i="48" l="1"/>
  <c r="L7" i="48"/>
  <c r="M5" i="48"/>
  <c r="L5" i="48"/>
  <c r="M7" i="47"/>
  <c r="L7" i="47"/>
  <c r="M5" i="47"/>
  <c r="L5" i="47"/>
  <c r="S14" i="45"/>
  <c r="T14" i="45" s="1"/>
  <c r="S8" i="45"/>
  <c r="T8" i="45" s="1"/>
  <c r="S5" i="45"/>
  <c r="T5" i="45" s="1"/>
  <c r="Q8" i="45"/>
  <c r="M10" i="50"/>
  <c r="L10" i="50"/>
  <c r="M9" i="50"/>
  <c r="L9" i="50"/>
  <c r="M7" i="50"/>
  <c r="L7" i="50"/>
  <c r="M5" i="50"/>
  <c r="L5" i="50"/>
  <c r="M18" i="45" l="1"/>
  <c r="P18" i="45" s="1"/>
  <c r="L18" i="45"/>
  <c r="O18" i="45" s="1"/>
  <c r="M17" i="45"/>
  <c r="P17" i="45" s="1"/>
  <c r="L17" i="45"/>
  <c r="O17" i="45" s="1"/>
  <c r="M16" i="45"/>
  <c r="P16" i="45" s="1"/>
  <c r="L16" i="45"/>
  <c r="O16" i="45" s="1"/>
  <c r="M15" i="45"/>
  <c r="P15" i="45" s="1"/>
  <c r="L15" i="45"/>
  <c r="O15" i="45" s="1"/>
  <c r="M14" i="45"/>
  <c r="P14" i="45" s="1"/>
  <c r="L14" i="45"/>
  <c r="O14" i="45" s="1"/>
  <c r="M12" i="45"/>
  <c r="P12" i="45" s="1"/>
  <c r="L12" i="45"/>
  <c r="O12" i="45" s="1"/>
  <c r="M11" i="45"/>
  <c r="P11" i="45" s="1"/>
  <c r="L11" i="45"/>
  <c r="O11" i="45" s="1"/>
  <c r="M10" i="45"/>
  <c r="P10" i="45" s="1"/>
  <c r="L10" i="45"/>
  <c r="O10" i="45" s="1"/>
  <c r="M9" i="45"/>
  <c r="P9" i="45" s="1"/>
  <c r="L9" i="45"/>
  <c r="O9" i="45" s="1"/>
  <c r="M6" i="45"/>
  <c r="P6" i="45" s="1"/>
  <c r="L6" i="45"/>
  <c r="O6" i="45" s="1"/>
  <c r="M5" i="45"/>
  <c r="P5" i="45" s="1"/>
  <c r="L5" i="45"/>
  <c r="O5" i="45" s="1"/>
  <c r="P39" i="18"/>
  <c r="P38" i="18"/>
  <c r="P37" i="18"/>
  <c r="P36" i="18"/>
  <c r="P35" i="18"/>
  <c r="S31" i="41" l="1"/>
  <c r="S34" i="41"/>
  <c r="S33" i="41"/>
  <c r="S32" i="41"/>
  <c r="S29" i="41"/>
  <c r="S28" i="41"/>
  <c r="S27" i="41"/>
  <c r="S41" i="49" l="1"/>
  <c r="S40" i="49"/>
  <c r="S39" i="49"/>
  <c r="S38" i="49"/>
  <c r="S37" i="49"/>
  <c r="S36" i="49"/>
  <c r="S35" i="49"/>
  <c r="S34" i="49"/>
  <c r="S33" i="49"/>
  <c r="S21" i="50" l="1"/>
  <c r="S20" i="50"/>
  <c r="Q9" i="50" l="1"/>
  <c r="Q5" i="50"/>
  <c r="Q7" i="50"/>
  <c r="T7" i="50"/>
  <c r="S7" i="50"/>
  <c r="N6" i="50"/>
  <c r="N8" i="50"/>
  <c r="S27" i="50"/>
  <c r="S28" i="50"/>
  <c r="S29" i="50"/>
  <c r="S30" i="50"/>
  <c r="S31" i="50"/>
  <c r="S32" i="50"/>
  <c r="S33" i="50"/>
  <c r="S34" i="50"/>
  <c r="S35" i="50"/>
  <c r="S36" i="50"/>
  <c r="S37" i="50"/>
  <c r="S38" i="50"/>
  <c r="S39" i="50"/>
  <c r="T9" i="50"/>
  <c r="S9" i="50"/>
  <c r="T5" i="50"/>
  <c r="S5" i="50"/>
  <c r="P10" i="50"/>
  <c r="O10" i="50"/>
  <c r="P9" i="50"/>
  <c r="O9" i="50"/>
  <c r="P7" i="50"/>
  <c r="P8" i="50" s="1"/>
  <c r="O7" i="50"/>
  <c r="O8" i="50" s="1"/>
  <c r="O5" i="50"/>
  <c r="O6" i="50" s="1"/>
  <c r="P5" i="50"/>
  <c r="P6" i="50" s="1"/>
  <c r="E7" i="50"/>
  <c r="G7" i="50" s="1"/>
  <c r="I7" i="50" s="1"/>
  <c r="F7" i="50"/>
  <c r="H7" i="50" s="1"/>
  <c r="J7" i="50"/>
  <c r="S47" i="50"/>
  <c r="S46" i="50"/>
  <c r="S45" i="50"/>
  <c r="S44" i="50"/>
  <c r="S43" i="50"/>
  <c r="S42" i="50"/>
  <c r="S41" i="50"/>
  <c r="S40" i="50"/>
  <c r="S24" i="50"/>
  <c r="S25" i="50" s="1"/>
  <c r="S19" i="50"/>
  <c r="U12" i="50"/>
  <c r="N11" i="50"/>
  <c r="N12" i="50" s="1"/>
  <c r="J10" i="50"/>
  <c r="F10" i="50"/>
  <c r="H10" i="50" s="1"/>
  <c r="E10" i="50"/>
  <c r="G10" i="50" s="1"/>
  <c r="I10" i="50" s="1"/>
  <c r="J9" i="50"/>
  <c r="F9" i="50"/>
  <c r="H9" i="50" s="1"/>
  <c r="E9" i="50"/>
  <c r="G9" i="50" s="1"/>
  <c r="I9" i="50" s="1"/>
  <c r="J5" i="50"/>
  <c r="F5" i="50"/>
  <c r="H5" i="50" s="1"/>
  <c r="E5" i="50"/>
  <c r="G5" i="50" s="1"/>
  <c r="I5" i="50" s="1"/>
  <c r="L23" i="50" l="1"/>
  <c r="L20" i="50"/>
  <c r="L22" i="50"/>
  <c r="L21" i="50"/>
  <c r="V5" i="50"/>
  <c r="V7" i="50"/>
  <c r="S22" i="50"/>
  <c r="S48" i="50" s="1"/>
  <c r="O11" i="50"/>
  <c r="V9" i="50" s="1"/>
  <c r="L19" i="50"/>
  <c r="P11" i="50"/>
  <c r="L24" i="50"/>
  <c r="L25" i="50" l="1"/>
  <c r="S37" i="20" l="1"/>
  <c r="S36" i="20"/>
  <c r="S35" i="20"/>
  <c r="P40" i="18" l="1"/>
  <c r="E14" i="18" l="1"/>
  <c r="S29" i="45" l="1"/>
  <c r="S28" i="45"/>
  <c r="M18" i="39"/>
  <c r="L18" i="39"/>
  <c r="M17" i="39"/>
  <c r="L17" i="39"/>
  <c r="M16" i="39"/>
  <c r="L16" i="39"/>
  <c r="M15" i="39"/>
  <c r="L15" i="39"/>
  <c r="M14" i="39"/>
  <c r="L14" i="39"/>
  <c r="N13" i="39"/>
  <c r="M12" i="39"/>
  <c r="L12" i="39"/>
  <c r="M11" i="39"/>
  <c r="L11" i="39"/>
  <c r="M10" i="39"/>
  <c r="L10" i="39"/>
  <c r="M9" i="39"/>
  <c r="L9" i="39"/>
  <c r="M8" i="39"/>
  <c r="L8" i="39"/>
  <c r="N7" i="39"/>
  <c r="M6" i="39"/>
  <c r="L6" i="39"/>
  <c r="M5" i="39"/>
  <c r="L5" i="39"/>
  <c r="N19" i="39"/>
  <c r="S43" i="49" l="1"/>
  <c r="S42" i="49"/>
  <c r="S32" i="49"/>
  <c r="S31" i="49"/>
  <c r="S30" i="49"/>
  <c r="S29" i="49"/>
  <c r="S28" i="49"/>
  <c r="U21" i="49"/>
  <c r="N20" i="49"/>
  <c r="M19" i="49"/>
  <c r="P19" i="49" s="1"/>
  <c r="L19" i="49"/>
  <c r="O19" i="49" s="1"/>
  <c r="J19" i="49"/>
  <c r="F19" i="49"/>
  <c r="H19" i="49" s="1"/>
  <c r="E19" i="49"/>
  <c r="G19" i="49" s="1"/>
  <c r="I19" i="49" s="1"/>
  <c r="M18" i="49"/>
  <c r="P18" i="49" s="1"/>
  <c r="L18" i="49"/>
  <c r="O18" i="49" s="1"/>
  <c r="J18" i="49"/>
  <c r="F18" i="49"/>
  <c r="H18" i="49" s="1"/>
  <c r="E18" i="49"/>
  <c r="G18" i="49" s="1"/>
  <c r="I18" i="49" s="1"/>
  <c r="M17" i="49"/>
  <c r="P17" i="49" s="1"/>
  <c r="L17" i="49"/>
  <c r="O17" i="49" s="1"/>
  <c r="J17" i="49"/>
  <c r="F17" i="49"/>
  <c r="H17" i="49" s="1"/>
  <c r="E17" i="49"/>
  <c r="G17" i="49" s="1"/>
  <c r="I17" i="49" s="1"/>
  <c r="M16" i="49"/>
  <c r="P16" i="49" s="1"/>
  <c r="L16" i="49"/>
  <c r="O16" i="49" s="1"/>
  <c r="J16" i="49"/>
  <c r="F16" i="49"/>
  <c r="H16" i="49" s="1"/>
  <c r="E16" i="49"/>
  <c r="G16" i="49" s="1"/>
  <c r="I16" i="49" s="1"/>
  <c r="M15" i="49"/>
  <c r="P15" i="49" s="1"/>
  <c r="L15" i="49"/>
  <c r="O15" i="49" s="1"/>
  <c r="J15" i="49"/>
  <c r="F15" i="49"/>
  <c r="H15" i="49" s="1"/>
  <c r="E15" i="49"/>
  <c r="G15" i="49" s="1"/>
  <c r="I15" i="49" s="1"/>
  <c r="T14" i="49"/>
  <c r="S14" i="49"/>
  <c r="Q14" i="49"/>
  <c r="M14" i="49"/>
  <c r="P14" i="49" s="1"/>
  <c r="L14" i="49"/>
  <c r="O14" i="49" s="1"/>
  <c r="J14" i="49"/>
  <c r="F14" i="49"/>
  <c r="H14" i="49" s="1"/>
  <c r="E14" i="49"/>
  <c r="G14" i="49" s="1"/>
  <c r="I14" i="49" s="1"/>
  <c r="N13" i="49"/>
  <c r="M12" i="49"/>
  <c r="P12" i="49" s="1"/>
  <c r="L12" i="49"/>
  <c r="O12" i="49" s="1"/>
  <c r="J12" i="49"/>
  <c r="F12" i="49"/>
  <c r="H12" i="49" s="1"/>
  <c r="E12" i="49"/>
  <c r="G12" i="49" s="1"/>
  <c r="I12" i="49" s="1"/>
  <c r="M11" i="49"/>
  <c r="P11" i="49" s="1"/>
  <c r="L11" i="49"/>
  <c r="O11" i="49" s="1"/>
  <c r="J11" i="49"/>
  <c r="H11" i="49"/>
  <c r="F11" i="49"/>
  <c r="E11" i="49"/>
  <c r="G11" i="49" s="1"/>
  <c r="I11" i="49" s="1"/>
  <c r="M10" i="49"/>
  <c r="P10" i="49" s="1"/>
  <c r="L10" i="49"/>
  <c r="O10" i="49" s="1"/>
  <c r="J10" i="49"/>
  <c r="F10" i="49"/>
  <c r="H10" i="49" s="1"/>
  <c r="E10" i="49"/>
  <c r="G10" i="49" s="1"/>
  <c r="I10" i="49" s="1"/>
  <c r="M9" i="49"/>
  <c r="P9" i="49" s="1"/>
  <c r="L9" i="49"/>
  <c r="O9" i="49" s="1"/>
  <c r="J9" i="49"/>
  <c r="F9" i="49"/>
  <c r="H9" i="49" s="1"/>
  <c r="E9" i="49"/>
  <c r="G9" i="49" s="1"/>
  <c r="I9" i="49" s="1"/>
  <c r="T8" i="49"/>
  <c r="S8" i="49"/>
  <c r="Q8" i="49"/>
  <c r="M8" i="49"/>
  <c r="P8" i="49" s="1"/>
  <c r="L8" i="49"/>
  <c r="O8" i="49" s="1"/>
  <c r="J8" i="49"/>
  <c r="F8" i="49"/>
  <c r="H8" i="49" s="1"/>
  <c r="E8" i="49"/>
  <c r="G8" i="49" s="1"/>
  <c r="I8" i="49" s="1"/>
  <c r="N7" i="49"/>
  <c r="L32" i="49" s="1"/>
  <c r="M6" i="49"/>
  <c r="P6" i="49" s="1"/>
  <c r="L6" i="49"/>
  <c r="O6" i="49" s="1"/>
  <c r="J6" i="49"/>
  <c r="F6" i="49"/>
  <c r="H6" i="49" s="1"/>
  <c r="E6" i="49"/>
  <c r="G6" i="49" s="1"/>
  <c r="I6" i="49" s="1"/>
  <c r="T5" i="49"/>
  <c r="S5" i="49"/>
  <c r="Q5" i="49"/>
  <c r="M5" i="49"/>
  <c r="P5" i="49" s="1"/>
  <c r="L5" i="49"/>
  <c r="O5" i="49" s="1"/>
  <c r="J5" i="49"/>
  <c r="F5" i="49"/>
  <c r="H5" i="49" s="1"/>
  <c r="E5" i="49"/>
  <c r="G5" i="49" s="1"/>
  <c r="I5" i="49" s="1"/>
  <c r="O7" i="49" l="1"/>
  <c r="V5" i="49" s="1"/>
  <c r="N21" i="49"/>
  <c r="S44" i="49"/>
  <c r="P20" i="49"/>
  <c r="P7" i="49"/>
  <c r="O13" i="49"/>
  <c r="V8" i="49" s="1"/>
  <c r="P13" i="49"/>
  <c r="O20" i="49"/>
  <c r="V14" i="49" s="1"/>
  <c r="L31" i="49"/>
  <c r="L35" i="49"/>
  <c r="L39" i="49"/>
  <c r="L43" i="49"/>
  <c r="L47" i="49"/>
  <c r="L36" i="49"/>
  <c r="L28" i="49"/>
  <c r="L40" i="49"/>
  <c r="L29" i="49"/>
  <c r="L33" i="49"/>
  <c r="L37" i="49"/>
  <c r="L41" i="49"/>
  <c r="L45" i="49"/>
  <c r="L49" i="49"/>
  <c r="L48" i="49"/>
  <c r="L44" i="49"/>
  <c r="L30" i="49"/>
  <c r="L34" i="49"/>
  <c r="L38" i="49"/>
  <c r="L42" i="49"/>
  <c r="L46" i="49"/>
  <c r="L50" i="49"/>
  <c r="J5" i="45"/>
  <c r="L51" i="49" l="1"/>
  <c r="S30" i="41"/>
  <c r="N8" i="48"/>
  <c r="T7" i="48"/>
  <c r="Q7" i="48"/>
  <c r="S7" i="48" s="1"/>
  <c r="R7" i="48" s="1"/>
  <c r="O7" i="48"/>
  <c r="J7" i="48"/>
  <c r="G7" i="48"/>
  <c r="F7" i="48"/>
  <c r="N6" i="48"/>
  <c r="L35" i="48" s="1"/>
  <c r="T5" i="48"/>
  <c r="T9" i="48" s="1"/>
  <c r="Q5" i="48"/>
  <c r="S5" i="48" s="1"/>
  <c r="O5" i="48"/>
  <c r="J5" i="48"/>
  <c r="F5" i="48"/>
  <c r="E5" i="48"/>
  <c r="T9" i="47"/>
  <c r="N8" i="47"/>
  <c r="P7" i="47"/>
  <c r="P8" i="47" s="1"/>
  <c r="O7" i="47"/>
  <c r="O8" i="47" s="1"/>
  <c r="J7" i="47"/>
  <c r="G7" i="47"/>
  <c r="F7" i="47"/>
  <c r="N6" i="47"/>
  <c r="P5" i="47"/>
  <c r="P6" i="47" s="1"/>
  <c r="O5" i="47"/>
  <c r="O6" i="47" s="1"/>
  <c r="J5" i="47"/>
  <c r="F5" i="47"/>
  <c r="E5" i="47"/>
  <c r="S27" i="45"/>
  <c r="S26" i="45"/>
  <c r="U20" i="45"/>
  <c r="N19" i="45"/>
  <c r="L33" i="47" l="1"/>
  <c r="L29" i="47"/>
  <c r="L27" i="47"/>
  <c r="L32" i="47"/>
  <c r="L30" i="47"/>
  <c r="L28" i="47"/>
  <c r="L31" i="47"/>
  <c r="L26" i="47"/>
  <c r="L34" i="47"/>
  <c r="L16" i="47"/>
  <c r="L37" i="48"/>
  <c r="L15" i="48"/>
  <c r="L14" i="48" s="1"/>
  <c r="R5" i="48"/>
  <c r="S30" i="45"/>
  <c r="L15" i="47"/>
  <c r="L19" i="47"/>
  <c r="L23" i="47"/>
  <c r="L13" i="48"/>
  <c r="L18" i="48"/>
  <c r="L21" i="48"/>
  <c r="L24" i="48"/>
  <c r="L28" i="48"/>
  <c r="L32" i="48"/>
  <c r="L36" i="48"/>
  <c r="L20" i="47"/>
  <c r="L22" i="48"/>
  <c r="L33" i="48"/>
  <c r="I7" i="47"/>
  <c r="H7" i="47" s="1"/>
  <c r="N9" i="47"/>
  <c r="L17" i="47"/>
  <c r="L21" i="47"/>
  <c r="L25" i="47"/>
  <c r="N9" i="48"/>
  <c r="L16" i="48"/>
  <c r="L19" i="48"/>
  <c r="L23" i="48"/>
  <c r="L26" i="48"/>
  <c r="L30" i="48"/>
  <c r="L34" i="48"/>
  <c r="L38" i="48"/>
  <c r="L24" i="47"/>
  <c r="L25" i="48"/>
  <c r="L29" i="48"/>
  <c r="L18" i="47"/>
  <c r="L22" i="47"/>
  <c r="I7" i="48"/>
  <c r="H7" i="48" s="1"/>
  <c r="L17" i="48"/>
  <c r="L20" i="48"/>
  <c r="L27" i="48"/>
  <c r="L31" i="48"/>
  <c r="P5" i="48"/>
  <c r="P6" i="48" s="1"/>
  <c r="O6" i="48" s="1"/>
  <c r="P7" i="48"/>
  <c r="P8" i="48" s="1"/>
  <c r="O8" i="48" s="1"/>
  <c r="J18" i="45"/>
  <c r="F18" i="45"/>
  <c r="E18" i="45"/>
  <c r="J17" i="45"/>
  <c r="F17" i="45"/>
  <c r="E17" i="45"/>
  <c r="J16" i="45"/>
  <c r="F16" i="45"/>
  <c r="E16" i="45"/>
  <c r="J15" i="45"/>
  <c r="F15" i="45"/>
  <c r="E15" i="45"/>
  <c r="Q14" i="45"/>
  <c r="J14" i="45"/>
  <c r="F14" i="45"/>
  <c r="E14" i="45"/>
  <c r="N13" i="45"/>
  <c r="J12" i="45"/>
  <c r="F12" i="45"/>
  <c r="E12" i="45"/>
  <c r="J11" i="45"/>
  <c r="F11" i="45"/>
  <c r="E11" i="45"/>
  <c r="J10" i="45"/>
  <c r="F10" i="45"/>
  <c r="E10" i="45"/>
  <c r="J9" i="45"/>
  <c r="F9" i="45"/>
  <c r="E9" i="45"/>
  <c r="M8" i="45"/>
  <c r="P8" i="45" s="1"/>
  <c r="L8" i="45"/>
  <c r="O8" i="45" s="1"/>
  <c r="J8" i="45"/>
  <c r="F8" i="45"/>
  <c r="E8" i="45"/>
  <c r="N7" i="45"/>
  <c r="J6" i="45"/>
  <c r="F6" i="45"/>
  <c r="E6" i="45"/>
  <c r="Q5" i="45"/>
  <c r="F5" i="45"/>
  <c r="E5" i="45"/>
  <c r="L29" i="45" l="1"/>
  <c r="N20" i="45"/>
  <c r="L35" i="47"/>
  <c r="L35" i="45"/>
  <c r="L32" i="45"/>
  <c r="L27" i="45"/>
  <c r="L34" i="45"/>
  <c r="L30" i="45"/>
  <c r="L33" i="45"/>
  <c r="L31" i="45"/>
  <c r="L28" i="45"/>
  <c r="L26" i="45"/>
  <c r="L39" i="48"/>
  <c r="P7" i="45"/>
  <c r="O7" i="45"/>
  <c r="V5" i="45" s="1"/>
  <c r="P19" i="45"/>
  <c r="O13" i="45"/>
  <c r="V8" i="45" s="1"/>
  <c r="P13" i="45"/>
  <c r="O19" i="45"/>
  <c r="V14" i="45" s="1"/>
  <c r="L36" i="45" l="1"/>
  <c r="U20" i="41" l="1"/>
  <c r="N19" i="41"/>
  <c r="M18" i="41"/>
  <c r="P18" i="41" s="1"/>
  <c r="L18" i="41"/>
  <c r="O18" i="41" s="1"/>
  <c r="J18" i="41"/>
  <c r="F18" i="41"/>
  <c r="E18" i="41"/>
  <c r="M17" i="41"/>
  <c r="P17" i="41" s="1"/>
  <c r="L17" i="41"/>
  <c r="O17" i="41" s="1"/>
  <c r="J17" i="41"/>
  <c r="F17" i="41"/>
  <c r="E17" i="41"/>
  <c r="M16" i="41"/>
  <c r="P16" i="41" s="1"/>
  <c r="L16" i="41"/>
  <c r="O16" i="41" s="1"/>
  <c r="J16" i="41"/>
  <c r="F16" i="41"/>
  <c r="E16" i="41"/>
  <c r="M15" i="41"/>
  <c r="P15" i="41" s="1"/>
  <c r="L15" i="41"/>
  <c r="O15" i="41" s="1"/>
  <c r="J15" i="41"/>
  <c r="F15" i="41"/>
  <c r="E15" i="41"/>
  <c r="T14" i="41"/>
  <c r="S14" i="41"/>
  <c r="Q14" i="41"/>
  <c r="M14" i="41"/>
  <c r="P14" i="41" s="1"/>
  <c r="L14" i="41"/>
  <c r="O14" i="41" s="1"/>
  <c r="J14" i="41"/>
  <c r="F14" i="41"/>
  <c r="E14" i="41"/>
  <c r="N13" i="41"/>
  <c r="M12" i="41"/>
  <c r="P12" i="41" s="1"/>
  <c r="L12" i="41"/>
  <c r="O12" i="41" s="1"/>
  <c r="J12" i="41"/>
  <c r="F12" i="41"/>
  <c r="E12" i="41"/>
  <c r="M11" i="41"/>
  <c r="P11" i="41" s="1"/>
  <c r="L11" i="41"/>
  <c r="O11" i="41" s="1"/>
  <c r="J11" i="41"/>
  <c r="F11" i="41"/>
  <c r="E11" i="41"/>
  <c r="M10" i="41"/>
  <c r="P10" i="41" s="1"/>
  <c r="L10" i="41"/>
  <c r="O10" i="41" s="1"/>
  <c r="J10" i="41"/>
  <c r="F10" i="41"/>
  <c r="E10" i="41"/>
  <c r="M9" i="41"/>
  <c r="P9" i="41" s="1"/>
  <c r="L9" i="41"/>
  <c r="O9" i="41" s="1"/>
  <c r="J9" i="41"/>
  <c r="F9" i="41"/>
  <c r="E9" i="41"/>
  <c r="T8" i="41"/>
  <c r="S8" i="41"/>
  <c r="Q8" i="41"/>
  <c r="M8" i="41"/>
  <c r="P8" i="41" s="1"/>
  <c r="L8" i="41"/>
  <c r="O8" i="41" s="1"/>
  <c r="J8" i="41"/>
  <c r="F8" i="41"/>
  <c r="E8" i="41"/>
  <c r="N7" i="41"/>
  <c r="L36" i="41" s="1"/>
  <c r="M6" i="41"/>
  <c r="P6" i="41" s="1"/>
  <c r="L6" i="41"/>
  <c r="O6" i="41" s="1"/>
  <c r="J6" i="41"/>
  <c r="F6" i="41"/>
  <c r="E6" i="41"/>
  <c r="T5" i="41"/>
  <c r="S5" i="41"/>
  <c r="Q5" i="41"/>
  <c r="M5" i="41"/>
  <c r="P5" i="41" s="1"/>
  <c r="L5" i="41"/>
  <c r="O5" i="41" s="1"/>
  <c r="J5" i="41"/>
  <c r="F5" i="41"/>
  <c r="E5" i="41"/>
  <c r="S45" i="39"/>
  <c r="S44" i="39"/>
  <c r="S43" i="39"/>
  <c r="S42" i="39"/>
  <c r="S41" i="39"/>
  <c r="S40" i="39"/>
  <c r="S39" i="39"/>
  <c r="S38" i="39"/>
  <c r="S37" i="39"/>
  <c r="S36" i="39"/>
  <c r="S35" i="39"/>
  <c r="S34" i="39"/>
  <c r="S33" i="39"/>
  <c r="S32" i="39"/>
  <c r="S31" i="39"/>
  <c r="S30" i="39"/>
  <c r="S29" i="39"/>
  <c r="S28" i="39"/>
  <c r="S27" i="39"/>
  <c r="U20" i="39"/>
  <c r="P18" i="39"/>
  <c r="O18" i="39"/>
  <c r="J18" i="39"/>
  <c r="F18" i="39"/>
  <c r="E18" i="39"/>
  <c r="P17" i="39"/>
  <c r="O17" i="39"/>
  <c r="J17" i="39"/>
  <c r="F17" i="39"/>
  <c r="E17" i="39"/>
  <c r="P16" i="39"/>
  <c r="O16" i="39"/>
  <c r="J16" i="39"/>
  <c r="F16" i="39"/>
  <c r="E16" i="39"/>
  <c r="P15" i="39"/>
  <c r="O15" i="39"/>
  <c r="J15" i="39"/>
  <c r="F15" i="39"/>
  <c r="E15" i="39"/>
  <c r="T14" i="39"/>
  <c r="S14" i="39"/>
  <c r="Q14" i="39"/>
  <c r="P14" i="39"/>
  <c r="O14" i="39"/>
  <c r="J14" i="39"/>
  <c r="F14" i="39"/>
  <c r="E14" i="39"/>
  <c r="P12" i="39"/>
  <c r="O12" i="39"/>
  <c r="J12" i="39"/>
  <c r="F12" i="39"/>
  <c r="E12" i="39"/>
  <c r="P11" i="39"/>
  <c r="O11" i="39"/>
  <c r="J11" i="39"/>
  <c r="F11" i="39"/>
  <c r="E11" i="39"/>
  <c r="P10" i="39"/>
  <c r="O10" i="39"/>
  <c r="J10" i="39"/>
  <c r="F10" i="39"/>
  <c r="E10" i="39"/>
  <c r="P9" i="39"/>
  <c r="O9" i="39"/>
  <c r="J9" i="39"/>
  <c r="F9" i="39"/>
  <c r="E9" i="39"/>
  <c r="T8" i="39"/>
  <c r="S8" i="39"/>
  <c r="Q8" i="39"/>
  <c r="P8" i="39"/>
  <c r="O8" i="39"/>
  <c r="J8" i="39"/>
  <c r="F8" i="39"/>
  <c r="E8" i="39"/>
  <c r="L48" i="39"/>
  <c r="P6" i="39"/>
  <c r="O6" i="39"/>
  <c r="J6" i="39"/>
  <c r="F6" i="39"/>
  <c r="E6" i="39"/>
  <c r="T5" i="39"/>
  <c r="S5" i="39"/>
  <c r="Q5" i="39"/>
  <c r="P5" i="39"/>
  <c r="O5" i="39"/>
  <c r="J5" i="39"/>
  <c r="F5" i="39"/>
  <c r="E5" i="39"/>
  <c r="S46" i="39" l="1"/>
  <c r="S35" i="41"/>
  <c r="P7" i="41"/>
  <c r="N20" i="39"/>
  <c r="L29" i="39"/>
  <c r="L33" i="39"/>
  <c r="L37" i="39"/>
  <c r="L41" i="39"/>
  <c r="L45" i="39"/>
  <c r="L49" i="39"/>
  <c r="N20" i="41"/>
  <c r="L27" i="39"/>
  <c r="L31" i="39"/>
  <c r="L35" i="39"/>
  <c r="L39" i="39"/>
  <c r="L43" i="39"/>
  <c r="L47" i="39"/>
  <c r="L28" i="39"/>
  <c r="L30" i="39"/>
  <c r="L32" i="39"/>
  <c r="L34" i="39"/>
  <c r="L36" i="39"/>
  <c r="L38" i="39"/>
  <c r="L40" i="39"/>
  <c r="L42" i="39"/>
  <c r="L44" i="39"/>
  <c r="L46" i="39"/>
  <c r="O7" i="41"/>
  <c r="L26" i="41"/>
  <c r="L27" i="41"/>
  <c r="L28" i="41"/>
  <c r="L29" i="41"/>
  <c r="L30" i="41"/>
  <c r="L31" i="41"/>
  <c r="L32" i="41"/>
  <c r="L34" i="41"/>
  <c r="L46" i="41"/>
  <c r="L44" i="41"/>
  <c r="L42" i="41"/>
  <c r="L40" i="41"/>
  <c r="L38" i="41"/>
  <c r="L47" i="41"/>
  <c r="L45" i="41"/>
  <c r="L43" i="41"/>
  <c r="L41" i="41"/>
  <c r="L39" i="41"/>
  <c r="L37" i="41"/>
  <c r="L33" i="41"/>
  <c r="L35" i="41"/>
  <c r="O7" i="39"/>
  <c r="V5" i="39" s="1"/>
  <c r="P7" i="39"/>
  <c r="O13" i="41"/>
  <c r="O19" i="41"/>
  <c r="P13" i="39"/>
  <c r="O19" i="39"/>
  <c r="V14" i="39" s="1"/>
  <c r="O13" i="39"/>
  <c r="V8" i="39" s="1"/>
  <c r="P19" i="39"/>
  <c r="P13" i="41"/>
  <c r="P19" i="41"/>
  <c r="U15" i="27"/>
  <c r="S38" i="27" s="1"/>
  <c r="V38" i="27" s="1"/>
  <c r="N14" i="27"/>
  <c r="M13" i="27"/>
  <c r="P13" i="27" s="1"/>
  <c r="L13" i="27"/>
  <c r="O13" i="27" s="1"/>
  <c r="J13" i="27"/>
  <c r="F13" i="27"/>
  <c r="E13" i="27"/>
  <c r="G13" i="27" s="1"/>
  <c r="M12" i="27"/>
  <c r="P12" i="27" s="1"/>
  <c r="L12" i="27"/>
  <c r="J12" i="27"/>
  <c r="F12" i="27"/>
  <c r="E12" i="27"/>
  <c r="M11" i="27"/>
  <c r="L11" i="27"/>
  <c r="J11" i="27"/>
  <c r="F11" i="27"/>
  <c r="E11" i="27"/>
  <c r="T10" i="27"/>
  <c r="S10" i="27"/>
  <c r="Q10" i="27"/>
  <c r="M10" i="27"/>
  <c r="P10" i="27" s="1"/>
  <c r="L10" i="27"/>
  <c r="O10" i="27" s="1"/>
  <c r="J10" i="27"/>
  <c r="F10" i="27"/>
  <c r="E10" i="27"/>
  <c r="N9" i="27"/>
  <c r="M8" i="27"/>
  <c r="P8" i="27" s="1"/>
  <c r="L8" i="27"/>
  <c r="J8" i="27"/>
  <c r="F8" i="27"/>
  <c r="H8" i="27" s="1"/>
  <c r="G8" i="27" s="1"/>
  <c r="E8" i="27"/>
  <c r="M7" i="27"/>
  <c r="L7" i="27"/>
  <c r="J7" i="27"/>
  <c r="F7" i="27"/>
  <c r="E7" i="27"/>
  <c r="G7" i="27" s="1"/>
  <c r="M6" i="27"/>
  <c r="P6" i="27" s="1"/>
  <c r="L6" i="27"/>
  <c r="O6" i="27" s="1"/>
  <c r="J6" i="27"/>
  <c r="F6" i="27"/>
  <c r="H6" i="27" s="1"/>
  <c r="E6" i="27"/>
  <c r="T5" i="27"/>
  <c r="S5" i="27"/>
  <c r="Q5" i="27"/>
  <c r="M5" i="27"/>
  <c r="L5" i="27"/>
  <c r="J5" i="27"/>
  <c r="F5" i="27"/>
  <c r="E5" i="27"/>
  <c r="G5" i="27" s="1"/>
  <c r="S48" i="20"/>
  <c r="S47" i="20"/>
  <c r="S46" i="20"/>
  <c r="S45" i="20"/>
  <c r="S44" i="20"/>
  <c r="S43" i="20"/>
  <c r="S42" i="20"/>
  <c r="S41" i="20"/>
  <c r="S40" i="20"/>
  <c r="G6" i="27" l="1"/>
  <c r="S32" i="27"/>
  <c r="V32" i="27" s="1"/>
  <c r="N15" i="27"/>
  <c r="L25" i="27" s="1"/>
  <c r="L50" i="39"/>
  <c r="L48" i="41"/>
  <c r="V14" i="41"/>
  <c r="V8" i="41"/>
  <c r="I7" i="27"/>
  <c r="H7" i="27" s="1"/>
  <c r="I8" i="27"/>
  <c r="L21" i="27"/>
  <c r="L22" i="27"/>
  <c r="L23" i="27"/>
  <c r="L24" i="27"/>
  <c r="L26" i="27"/>
  <c r="L29" i="27"/>
  <c r="L32" i="27"/>
  <c r="L34" i="27"/>
  <c r="S36" i="27"/>
  <c r="V36" i="27" s="1"/>
  <c r="S37" i="27"/>
  <c r="V37" i="27" s="1"/>
  <c r="S39" i="27"/>
  <c r="V39" i="27" s="1"/>
  <c r="S40" i="27"/>
  <c r="V40" i="27" s="1"/>
  <c r="S41" i="27"/>
  <c r="V41" i="27" s="1"/>
  <c r="L41" i="27"/>
  <c r="S42" i="27" s="1"/>
  <c r="V42" i="27" s="1"/>
  <c r="L54" i="27"/>
  <c r="L52" i="27"/>
  <c r="L50" i="27"/>
  <c r="L47" i="27"/>
  <c r="L45" i="27"/>
  <c r="L55" i="27"/>
  <c r="L53" i="27"/>
  <c r="L51" i="27"/>
  <c r="L49" i="27"/>
  <c r="L46" i="27"/>
  <c r="I6" i="27"/>
  <c r="I5" i="27"/>
  <c r="H5" i="27" s="1"/>
  <c r="I13" i="27"/>
  <c r="H13" i="27" s="1"/>
  <c r="S20" i="27"/>
  <c r="V20" i="27" s="1"/>
  <c r="S21" i="27"/>
  <c r="V21" i="27" s="1"/>
  <c r="S22" i="27"/>
  <c r="V22" i="27" s="1"/>
  <c r="S23" i="27"/>
  <c r="V23" i="27" s="1"/>
  <c r="S24" i="27"/>
  <c r="V24" i="27" s="1"/>
  <c r="S25" i="27"/>
  <c r="V25" i="27" s="1"/>
  <c r="S26" i="27"/>
  <c r="V26" i="27" s="1"/>
  <c r="S27" i="27"/>
  <c r="V27" i="27" s="1"/>
  <c r="S28" i="27"/>
  <c r="V28" i="27" s="1"/>
  <c r="S29" i="27"/>
  <c r="V29" i="27" s="1"/>
  <c r="S30" i="27"/>
  <c r="V30" i="27" s="1"/>
  <c r="S31" i="27"/>
  <c r="V31" i="27" s="1"/>
  <c r="S33" i="27"/>
  <c r="V33" i="27" s="1"/>
  <c r="L35" i="27"/>
  <c r="L36" i="27"/>
  <c r="L37" i="27"/>
  <c r="L38" i="27"/>
  <c r="L39" i="27"/>
  <c r="L40" i="27"/>
  <c r="O12" i="27"/>
  <c r="O8" i="27"/>
  <c r="P5" i="27"/>
  <c r="P7" i="27"/>
  <c r="O7" i="27" s="1"/>
  <c r="P11" i="27"/>
  <c r="O11" i="27" s="1"/>
  <c r="S39" i="20"/>
  <c r="S38" i="20"/>
  <c r="S34" i="20"/>
  <c r="S33" i="20"/>
  <c r="S32" i="20"/>
  <c r="S31" i="20"/>
  <c r="S30" i="20"/>
  <c r="S29" i="20"/>
  <c r="S28" i="20"/>
  <c r="U21" i="20"/>
  <c r="N20" i="20"/>
  <c r="M19" i="20"/>
  <c r="P19" i="20" s="1"/>
  <c r="L19" i="20"/>
  <c r="O19" i="20" s="1"/>
  <c r="J19" i="20"/>
  <c r="F19" i="20"/>
  <c r="E19" i="20"/>
  <c r="G19" i="20" s="1"/>
  <c r="M18" i="20"/>
  <c r="P18" i="20" s="1"/>
  <c r="L18" i="20"/>
  <c r="O18" i="20" s="1"/>
  <c r="J18" i="20"/>
  <c r="F18" i="20"/>
  <c r="E18" i="20"/>
  <c r="M17" i="20"/>
  <c r="P17" i="20" s="1"/>
  <c r="L17" i="20"/>
  <c r="O17" i="20" s="1"/>
  <c r="J17" i="20"/>
  <c r="F17" i="20"/>
  <c r="E17" i="20"/>
  <c r="M16" i="20"/>
  <c r="P16" i="20" s="1"/>
  <c r="L16" i="20"/>
  <c r="O16" i="20" s="1"/>
  <c r="J16" i="20"/>
  <c r="F16" i="20"/>
  <c r="E16" i="20"/>
  <c r="M15" i="20"/>
  <c r="P15" i="20" s="1"/>
  <c r="L15" i="20"/>
  <c r="O15" i="20" s="1"/>
  <c r="J15" i="20"/>
  <c r="F15" i="20"/>
  <c r="E15" i="20"/>
  <c r="G15" i="20" s="1"/>
  <c r="T14" i="20"/>
  <c r="S14" i="20"/>
  <c r="Q14" i="20"/>
  <c r="M14" i="20"/>
  <c r="P14" i="20" s="1"/>
  <c r="L14" i="20"/>
  <c r="O14" i="20" s="1"/>
  <c r="J14" i="20"/>
  <c r="F14" i="20"/>
  <c r="E14" i="20"/>
  <c r="N13" i="20"/>
  <c r="M12" i="20"/>
  <c r="P12" i="20" s="1"/>
  <c r="L12" i="20"/>
  <c r="O12" i="20" s="1"/>
  <c r="J12" i="20"/>
  <c r="F12" i="20"/>
  <c r="E12" i="20"/>
  <c r="M11" i="20"/>
  <c r="P11" i="20" s="1"/>
  <c r="L11" i="20"/>
  <c r="O11" i="20" s="1"/>
  <c r="J11" i="20"/>
  <c r="F11" i="20"/>
  <c r="E11" i="20"/>
  <c r="M10" i="20"/>
  <c r="P10" i="20" s="1"/>
  <c r="L10" i="20"/>
  <c r="O10" i="20" s="1"/>
  <c r="J10" i="20"/>
  <c r="F10" i="20"/>
  <c r="E10" i="20"/>
  <c r="G10" i="20" s="1"/>
  <c r="M9" i="20"/>
  <c r="P9" i="20" s="1"/>
  <c r="L9" i="20"/>
  <c r="O9" i="20" s="1"/>
  <c r="J9" i="20"/>
  <c r="F9" i="20"/>
  <c r="E9" i="20"/>
  <c r="T8" i="20"/>
  <c r="S8" i="20"/>
  <c r="Q8" i="20"/>
  <c r="M8" i="20"/>
  <c r="P8" i="20" s="1"/>
  <c r="L8" i="20"/>
  <c r="O8" i="20" s="1"/>
  <c r="J8" i="20"/>
  <c r="F8" i="20"/>
  <c r="E8" i="20"/>
  <c r="G8" i="20" s="1"/>
  <c r="N7" i="20"/>
  <c r="M6" i="20"/>
  <c r="P6" i="20" s="1"/>
  <c r="L6" i="20"/>
  <c r="O6" i="20" s="1"/>
  <c r="J6" i="20"/>
  <c r="F6" i="20"/>
  <c r="E6" i="20"/>
  <c r="T5" i="20"/>
  <c r="S5" i="20"/>
  <c r="Q5" i="20"/>
  <c r="M5" i="20"/>
  <c r="P5" i="20" s="1"/>
  <c r="L5" i="20"/>
  <c r="O5" i="20" s="1"/>
  <c r="J5" i="20"/>
  <c r="F5" i="20"/>
  <c r="H5" i="20" s="1"/>
  <c r="E5" i="20"/>
  <c r="P41" i="18"/>
  <c r="P34" i="18"/>
  <c r="P31" i="18"/>
  <c r="P30" i="18"/>
  <c r="P29" i="18"/>
  <c r="P28" i="18"/>
  <c r="P27" i="18"/>
  <c r="P21" i="18"/>
  <c r="P20" i="18"/>
  <c r="Q16" i="18"/>
  <c r="P14" i="18"/>
  <c r="N14" i="18"/>
  <c r="K14" i="18"/>
  <c r="K15" i="18" s="1"/>
  <c r="H14" i="18"/>
  <c r="P12" i="18"/>
  <c r="N12" i="18"/>
  <c r="K12" i="18"/>
  <c r="K13" i="18" s="1"/>
  <c r="H12" i="18"/>
  <c r="E12" i="18"/>
  <c r="P10" i="18"/>
  <c r="N10" i="18"/>
  <c r="K10" i="18"/>
  <c r="K11" i="18" s="1"/>
  <c r="H10" i="18"/>
  <c r="E10" i="18"/>
  <c r="K8" i="18"/>
  <c r="H8" i="18"/>
  <c r="E8" i="18"/>
  <c r="K7" i="18"/>
  <c r="H7" i="18"/>
  <c r="E7" i="18"/>
  <c r="P6" i="18"/>
  <c r="N6" i="18"/>
  <c r="K6" i="18"/>
  <c r="H6" i="18"/>
  <c r="E6" i="18"/>
  <c r="V44" i="27" l="1"/>
  <c r="L31" i="27"/>
  <c r="L30" i="27"/>
  <c r="L42" i="27"/>
  <c r="L28" i="27"/>
  <c r="L27" i="27"/>
  <c r="L33" i="27"/>
  <c r="L29" i="20"/>
  <c r="M10" i="18"/>
  <c r="M14" i="18"/>
  <c r="M7" i="18"/>
  <c r="M6" i="18"/>
  <c r="K9" i="18"/>
  <c r="M8" i="18" s="1"/>
  <c r="O14" i="27"/>
  <c r="V10" i="27" s="1"/>
  <c r="O7" i="20"/>
  <c r="V5" i="20" s="1"/>
  <c r="P42" i="18"/>
  <c r="P32" i="18"/>
  <c r="M12" i="18"/>
  <c r="N21" i="20"/>
  <c r="G5" i="20"/>
  <c r="I8" i="20"/>
  <c r="H8" i="20" s="1"/>
  <c r="I5" i="20"/>
  <c r="I15" i="20"/>
  <c r="H15" i="20" s="1"/>
  <c r="L50" i="20"/>
  <c r="L49" i="20"/>
  <c r="L48" i="20"/>
  <c r="L47" i="20"/>
  <c r="L46" i="20"/>
  <c r="L45" i="20"/>
  <c r="L44" i="20"/>
  <c r="L43" i="20"/>
  <c r="L42" i="20"/>
  <c r="I10" i="20"/>
  <c r="H10" i="20" s="1"/>
  <c r="I19" i="20"/>
  <c r="H19" i="20" s="1"/>
  <c r="L28" i="20"/>
  <c r="L30" i="20"/>
  <c r="L31" i="20"/>
  <c r="L32" i="20"/>
  <c r="L33" i="20"/>
  <c r="L34" i="20"/>
  <c r="L35" i="20"/>
  <c r="L36" i="20"/>
  <c r="L37" i="20"/>
  <c r="L38" i="20"/>
  <c r="L39" i="20"/>
  <c r="L40" i="20"/>
  <c r="L41" i="20"/>
  <c r="S43" i="27"/>
  <c r="L20" i="27"/>
  <c r="S34" i="27"/>
  <c r="L56" i="27"/>
  <c r="S49" i="20"/>
  <c r="P13" i="20"/>
  <c r="P20" i="20"/>
  <c r="O13" i="20"/>
  <c r="V8" i="20" s="1"/>
  <c r="O20" i="20"/>
  <c r="V14" i="20" s="1"/>
  <c r="O5" i="27"/>
  <c r="P9" i="27"/>
  <c r="P7" i="20"/>
  <c r="P14" i="27"/>
  <c r="L43" i="27" l="1"/>
  <c r="L51" i="20"/>
  <c r="O9" i="27"/>
  <c r="V5" i="27" s="1"/>
  <c r="G10" i="27"/>
  <c r="I10" i="27"/>
  <c r="H10" i="27"/>
  <c r="G12" i="27"/>
  <c r="I12" i="27" s="1"/>
  <c r="H12" i="27"/>
  <c r="G11" i="27"/>
  <c r="I11" i="27" s="1"/>
  <c r="H11" i="27"/>
  <c r="H14" i="41"/>
  <c r="H15" i="41"/>
  <c r="H16" i="41"/>
  <c r="H17" i="41"/>
  <c r="H18" i="41"/>
  <c r="H5" i="41"/>
  <c r="H7" i="41" s="1"/>
  <c r="W5" i="41" s="1"/>
  <c r="H6" i="41"/>
  <c r="V5" i="41"/>
  <c r="H8" i="41"/>
  <c r="H9" i="41"/>
  <c r="H10" i="41"/>
  <c r="H11" i="41"/>
  <c r="H12" i="41"/>
  <c r="G18" i="41"/>
  <c r="I18" i="41" s="1"/>
  <c r="G12" i="41"/>
  <c r="I12" i="41" s="1"/>
  <c r="G6" i="41"/>
  <c r="I6" i="41"/>
  <c r="G11" i="41"/>
  <c r="I11" i="41" s="1"/>
  <c r="G15" i="41"/>
  <c r="I15" i="41" s="1"/>
  <c r="G9" i="41"/>
  <c r="I9" i="41" s="1"/>
  <c r="G16" i="41"/>
  <c r="I16" i="41" s="1"/>
  <c r="G10" i="41"/>
  <c r="I10" i="41" s="1"/>
  <c r="G5" i="41"/>
  <c r="I5" i="41"/>
  <c r="G8" i="41"/>
  <c r="I8" i="41" s="1"/>
  <c r="G17" i="41"/>
  <c r="I17" i="41"/>
  <c r="G14" i="41"/>
  <c r="I14" i="41" s="1"/>
  <c r="H13" i="41" l="1"/>
  <c r="W8" i="41" s="1"/>
  <c r="H19" i="41"/>
  <c r="W14" i="41" s="1"/>
  <c r="G16" i="20"/>
  <c r="I16" i="20" s="1"/>
  <c r="H16" i="20"/>
  <c r="G12" i="20"/>
  <c r="I12" i="20" s="1"/>
  <c r="H12" i="20"/>
  <c r="G9" i="20"/>
  <c r="I9" i="20" s="1"/>
  <c r="H9" i="20"/>
  <c r="G17" i="20"/>
  <c r="I17" i="20" s="1"/>
  <c r="H17" i="20"/>
  <c r="G11" i="20"/>
  <c r="I11" i="20"/>
  <c r="H11" i="20"/>
  <c r="G18" i="20"/>
  <c r="I18" i="20" s="1"/>
  <c r="H18" i="20"/>
  <c r="G14" i="20"/>
  <c r="I14" i="20" s="1"/>
  <c r="H14" i="20"/>
  <c r="G6" i="20"/>
  <c r="I6" i="20" s="1"/>
  <c r="H6" i="20"/>
  <c r="G14" i="39" l="1"/>
  <c r="I14" i="39"/>
  <c r="H14" i="39"/>
  <c r="G6" i="39"/>
  <c r="I6" i="39"/>
  <c r="H6" i="39"/>
  <c r="G10" i="39"/>
  <c r="I10" i="39"/>
  <c r="H10" i="39"/>
  <c r="G5" i="39"/>
  <c r="I5" i="39" s="1"/>
  <c r="H5" i="39"/>
  <c r="G18" i="39"/>
  <c r="I18" i="39"/>
  <c r="H18" i="39"/>
  <c r="G12" i="39"/>
  <c r="I12" i="39" s="1"/>
  <c r="H12" i="39"/>
  <c r="G16" i="39"/>
  <c r="I16" i="39"/>
  <c r="H16" i="39"/>
  <c r="G9" i="39"/>
  <c r="I9" i="39"/>
  <c r="H9" i="39"/>
  <c r="G17" i="39"/>
  <c r="I17" i="39"/>
  <c r="H17" i="39"/>
  <c r="G11" i="39"/>
  <c r="I11" i="39"/>
  <c r="H11" i="39"/>
  <c r="G15" i="39"/>
  <c r="I15" i="39"/>
  <c r="H15" i="39"/>
  <c r="G8" i="39"/>
  <c r="I8" i="39" s="1"/>
  <c r="H8" i="39"/>
  <c r="G15" i="45"/>
  <c r="I15" i="45"/>
  <c r="H15" i="45"/>
  <c r="G14" i="45"/>
  <c r="I14" i="45" s="1"/>
  <c r="H14" i="45"/>
  <c r="G12" i="45"/>
  <c r="I12" i="45"/>
  <c r="H12" i="45"/>
  <c r="G18" i="45"/>
  <c r="I18" i="45"/>
  <c r="H18" i="45"/>
  <c r="G17" i="45"/>
  <c r="I17" i="45" s="1"/>
  <c r="H17" i="45"/>
  <c r="G11" i="45"/>
  <c r="I11" i="45"/>
  <c r="H11" i="45"/>
  <c r="G16" i="45"/>
  <c r="I16" i="45"/>
  <c r="H16" i="45"/>
  <c r="G10" i="45"/>
  <c r="I10" i="45" s="1"/>
  <c r="H10" i="45"/>
  <c r="G9" i="45"/>
  <c r="I9" i="45"/>
  <c r="H9" i="45"/>
  <c r="G6" i="45"/>
  <c r="I6" i="45" s="1"/>
  <c r="H6" i="45"/>
  <c r="G8" i="45"/>
  <c r="I8" i="45" s="1"/>
  <c r="H8" i="45"/>
  <c r="G5" i="45"/>
  <c r="I5" i="45" s="1"/>
  <c r="H5" i="45"/>
  <c r="G5" i="48"/>
  <c r="I5" i="48"/>
  <c r="H5" i="48"/>
  <c r="G5" i="47"/>
  <c r="I5" i="47" s="1"/>
  <c r="H5" i="47"/>
</calcChain>
</file>

<file path=xl/sharedStrings.xml><?xml version="1.0" encoding="utf-8"?>
<sst xmlns="http://schemas.openxmlformats.org/spreadsheetml/2006/main" count="2158" uniqueCount="1242">
  <si>
    <t>㎡</t>
    <phoneticPr fontId="3" type="noConversion"/>
  </si>
  <si>
    <t>(대)</t>
    <phoneticPr fontId="3" type="noConversion"/>
  </si>
  <si>
    <t>면 적</t>
    <phoneticPr fontId="3" type="noConversion"/>
  </si>
  <si>
    <t>※ 본 도면의 부하/장비선정은 특정사례로 현장조건에 따라 달라 짐</t>
    <phoneticPr fontId="3" type="noConversion"/>
  </si>
  <si>
    <t>단위부하(kcal/h.㎡)</t>
    <phoneticPr fontId="3" type="noConversion"/>
  </si>
  <si>
    <t>냉방용량</t>
    <phoneticPr fontId="3" type="noConversion"/>
  </si>
  <si>
    <t>난방용량</t>
    <phoneticPr fontId="3" type="noConversion"/>
  </si>
  <si>
    <t>총냉방용량</t>
    <phoneticPr fontId="3" type="noConversion"/>
  </si>
  <si>
    <t>총난방용량</t>
    <phoneticPr fontId="3" type="noConversion"/>
  </si>
  <si>
    <t>실    명</t>
    <phoneticPr fontId="3" type="noConversion"/>
  </si>
  <si>
    <t>2. 최종보정값은 실별 필요부하량을 만족해야함.</t>
  </si>
  <si>
    <t>3. 실내/외기 조합비는 100%이내여야 함.</t>
  </si>
  <si>
    <t>층  별</t>
    <phoneticPr fontId="3" type="noConversion"/>
  </si>
  <si>
    <t>실내기 모델명</t>
    <phoneticPr fontId="3" type="noConversion"/>
  </si>
  <si>
    <t>대수</t>
    <phoneticPr fontId="3" type="noConversion"/>
  </si>
  <si>
    <t>실외기 모델명</t>
    <phoneticPr fontId="3" type="noConversion"/>
  </si>
  <si>
    <t>실외기냉방용량</t>
    <phoneticPr fontId="3" type="noConversion"/>
  </si>
  <si>
    <t>실외기난방용량</t>
    <phoneticPr fontId="3" type="noConversion"/>
  </si>
  <si>
    <t>조합비</t>
    <phoneticPr fontId="3" type="noConversion"/>
  </si>
  <si>
    <t>비 고</t>
    <phoneticPr fontId="3" type="noConversion"/>
  </si>
  <si>
    <t>냉방</t>
    <phoneticPr fontId="3" type="noConversion"/>
  </si>
  <si>
    <t>난방</t>
    <phoneticPr fontId="3" type="noConversion"/>
  </si>
  <si>
    <t>▣ 환기 장비선정표</t>
    <phoneticPr fontId="3" type="noConversion"/>
  </si>
  <si>
    <t>단위부하(w)</t>
    <phoneticPr fontId="3" type="noConversion"/>
  </si>
  <si>
    <t>(W)</t>
    <phoneticPr fontId="3" type="noConversion"/>
  </si>
  <si>
    <t>난방(w)</t>
    <phoneticPr fontId="3" type="noConversion"/>
  </si>
  <si>
    <t>■  냉난방 장비선정표</t>
    <phoneticPr fontId="3" type="noConversion"/>
  </si>
  <si>
    <t>RNW0600T2S</t>
  </si>
  <si>
    <t>RNW0320L2S</t>
    <phoneticPr fontId="3" type="noConversion"/>
  </si>
  <si>
    <t>RNW0400L2S</t>
    <phoneticPr fontId="3" type="noConversion"/>
  </si>
  <si>
    <t>RNW2300B2S</t>
    <phoneticPr fontId="3" type="noConversion"/>
  </si>
  <si>
    <t>RPUW081X9H</t>
  </si>
  <si>
    <t>RPUW101X9H</t>
  </si>
  <si>
    <t>RPUW121X9H</t>
  </si>
  <si>
    <t>RPUW181X9H</t>
  </si>
  <si>
    <t>RPUW201X9H</t>
  </si>
  <si>
    <t>RPUW221X9H</t>
  </si>
  <si>
    <t>RPUW241X9H</t>
  </si>
  <si>
    <t>RP-W261X9H</t>
  </si>
  <si>
    <t>RP-W281X9H</t>
  </si>
  <si>
    <t>RP-W301X9H</t>
  </si>
  <si>
    <t>RP-W321X9H</t>
  </si>
  <si>
    <t>RP-W341X9H</t>
  </si>
  <si>
    <t>RP-W361X9H</t>
  </si>
  <si>
    <t>RP-W381X9H</t>
  </si>
  <si>
    <t>RP-W401X9H</t>
  </si>
  <si>
    <t>RP-W421X9H</t>
  </si>
  <si>
    <t>RP-W441X9H</t>
  </si>
  <si>
    <t>RP-W461X9H</t>
  </si>
  <si>
    <t>RP-W481X9H</t>
  </si>
  <si>
    <t>층  별</t>
    <phoneticPr fontId="3" type="noConversion"/>
  </si>
  <si>
    <t>실    명</t>
    <phoneticPr fontId="3" type="noConversion"/>
  </si>
  <si>
    <t>면 적</t>
    <phoneticPr fontId="3" type="noConversion"/>
  </si>
  <si>
    <t>단위부하(kcal/h.㎡)</t>
    <phoneticPr fontId="3" type="noConversion"/>
  </si>
  <si>
    <t>단위부하(w)</t>
    <phoneticPr fontId="3" type="noConversion"/>
  </si>
  <si>
    <t>실내기 모델명</t>
    <phoneticPr fontId="3" type="noConversion"/>
  </si>
  <si>
    <t>냉방용량</t>
    <phoneticPr fontId="3" type="noConversion"/>
  </si>
  <si>
    <t>난방용량</t>
    <phoneticPr fontId="3" type="noConversion"/>
  </si>
  <si>
    <t>대수</t>
    <phoneticPr fontId="3" type="noConversion"/>
  </si>
  <si>
    <t>총냉방용량</t>
    <phoneticPr fontId="3" type="noConversion"/>
  </si>
  <si>
    <t>총난방용량</t>
    <phoneticPr fontId="3" type="noConversion"/>
  </si>
  <si>
    <t>실외기 모델명</t>
    <phoneticPr fontId="3" type="noConversion"/>
  </si>
  <si>
    <t>실외기냉방용량</t>
    <phoneticPr fontId="3" type="noConversion"/>
  </si>
  <si>
    <t>실외기난방용량</t>
    <phoneticPr fontId="3" type="noConversion"/>
  </si>
  <si>
    <t>조합비</t>
    <phoneticPr fontId="3" type="noConversion"/>
  </si>
  <si>
    <t>비 고</t>
    <phoneticPr fontId="3" type="noConversion"/>
  </si>
  <si>
    <t>㎡</t>
    <phoneticPr fontId="3" type="noConversion"/>
  </si>
  <si>
    <t>냉방</t>
    <phoneticPr fontId="3" type="noConversion"/>
  </si>
  <si>
    <t>난방</t>
    <phoneticPr fontId="3" type="noConversion"/>
  </si>
  <si>
    <t>(W)</t>
    <phoneticPr fontId="3" type="noConversion"/>
  </si>
  <si>
    <t>(대)</t>
    <phoneticPr fontId="3" type="noConversion"/>
  </si>
  <si>
    <t>실 명</t>
    <phoneticPr fontId="3" type="noConversion"/>
  </si>
  <si>
    <t>면적</t>
    <phoneticPr fontId="3" type="noConversion"/>
  </si>
  <si>
    <t>층고</t>
    <phoneticPr fontId="3" type="noConversion"/>
  </si>
  <si>
    <t>체적</t>
    <phoneticPr fontId="3" type="noConversion"/>
  </si>
  <si>
    <t>재실인원에 의한 환기량</t>
    <phoneticPr fontId="3" type="noConversion"/>
  </si>
  <si>
    <t>점유면적에 의한 환기량</t>
    <phoneticPr fontId="3" type="noConversion"/>
  </si>
  <si>
    <t>환기횟수에 의한 환기량</t>
    <phoneticPr fontId="3" type="noConversion"/>
  </si>
  <si>
    <t>장비선정</t>
    <phoneticPr fontId="3" type="noConversion"/>
  </si>
  <si>
    <t>인원</t>
    <phoneticPr fontId="3" type="noConversion"/>
  </si>
  <si>
    <t>인당필요환기량</t>
    <phoneticPr fontId="3" type="noConversion"/>
  </si>
  <si>
    <t>선정환기량</t>
    <phoneticPr fontId="3" type="noConversion"/>
  </si>
  <si>
    <t>인당점유면적</t>
    <phoneticPr fontId="3" type="noConversion"/>
  </si>
  <si>
    <t>환기횟수</t>
    <phoneticPr fontId="3" type="noConversion"/>
  </si>
  <si>
    <t>모델명</t>
    <phoneticPr fontId="3" type="noConversion"/>
  </si>
  <si>
    <t>환기량</t>
    <phoneticPr fontId="3" type="noConversion"/>
  </si>
  <si>
    <t>수량</t>
    <phoneticPr fontId="3" type="noConversion"/>
  </si>
  <si>
    <t>m</t>
    <phoneticPr fontId="3" type="noConversion"/>
  </si>
  <si>
    <t>㎥</t>
    <phoneticPr fontId="3" type="noConversion"/>
  </si>
  <si>
    <t>(인)</t>
    <phoneticPr fontId="3" type="noConversion"/>
  </si>
  <si>
    <t>(CMH)</t>
    <phoneticPr fontId="3" type="noConversion"/>
  </si>
  <si>
    <t>(㎡/인)</t>
    <phoneticPr fontId="3" type="noConversion"/>
  </si>
  <si>
    <t>(N)</t>
    <phoneticPr fontId="3" type="noConversion"/>
  </si>
  <si>
    <t>층 별</t>
    <phoneticPr fontId="3" type="noConversion"/>
  </si>
  <si>
    <t>RNW0230C2S</t>
  </si>
  <si>
    <t>■ 수냉식 냉난방 장비선정표</t>
    <phoneticPr fontId="3" type="noConversion"/>
  </si>
  <si>
    <t>※ NOTE</t>
    <phoneticPr fontId="3" type="noConversion"/>
  </si>
  <si>
    <t>1. 최종보정값은 배관길이,온도차,제상운전에 관한 보정계수 적용값이며, 보정계수는 장비 및 현장조건에 따라 달라짐.</t>
    <phoneticPr fontId="3" type="noConversion"/>
  </si>
  <si>
    <t>필요부하량(W)</t>
    <phoneticPr fontId="3" type="noConversion"/>
  </si>
  <si>
    <t>냉방</t>
    <phoneticPr fontId="3" type="noConversion"/>
  </si>
  <si>
    <t>난방</t>
    <phoneticPr fontId="3" type="noConversion"/>
  </si>
  <si>
    <t>Multi V S 실외기 (주거용)</t>
    <phoneticPr fontId="3" type="noConversion"/>
  </si>
  <si>
    <t>RNW0400M2S</t>
  </si>
  <si>
    <t>모델명</t>
    <phoneticPr fontId="3" type="noConversion"/>
  </si>
  <si>
    <t>냉방(w)</t>
    <phoneticPr fontId="3" type="noConversion"/>
  </si>
  <si>
    <t>RNW0520T2S</t>
  </si>
  <si>
    <t>■ 지열 냉난방 장비선정표</t>
    <phoneticPr fontId="3" type="noConversion"/>
  </si>
  <si>
    <t>120%이내</t>
  </si>
  <si>
    <t>실내기/실외기</t>
  </si>
  <si>
    <t>실외기/실부하</t>
  </si>
  <si>
    <t>조합비</t>
  </si>
  <si>
    <t>■ All in 1 냉난방 장비선정표</t>
    <phoneticPr fontId="3" type="noConversion"/>
  </si>
  <si>
    <t>■ 중대형 냉난방 장비선정표</t>
    <phoneticPr fontId="3" type="noConversion"/>
  </si>
  <si>
    <t>발전기실</t>
  </si>
  <si>
    <t>■ 싱글 냉난방 장비선정표</t>
    <phoneticPr fontId="3" type="noConversion"/>
  </si>
  <si>
    <t>CMH</t>
    <phoneticPr fontId="3" type="noConversion"/>
  </si>
  <si>
    <t>50~100%</t>
    <phoneticPr fontId="3" type="noConversion"/>
  </si>
  <si>
    <t>지하1층</t>
    <phoneticPr fontId="3" type="noConversion"/>
  </si>
  <si>
    <t>시청각실</t>
    <phoneticPr fontId="3" type="noConversion"/>
  </si>
  <si>
    <t>합계</t>
    <phoneticPr fontId="3" type="noConversion"/>
  </si>
  <si>
    <t>1층</t>
    <phoneticPr fontId="3" type="noConversion"/>
  </si>
  <si>
    <t>발전기실</t>
    <phoneticPr fontId="3" type="noConversion"/>
  </si>
  <si>
    <t>감시실</t>
    <phoneticPr fontId="3" type="noConversion"/>
  </si>
  <si>
    <t>관리사무실-2</t>
    <phoneticPr fontId="3" type="noConversion"/>
  </si>
  <si>
    <t>방재실</t>
    <phoneticPr fontId="3" type="noConversion"/>
  </si>
  <si>
    <t>2층</t>
    <phoneticPr fontId="3" type="noConversion"/>
  </si>
  <si>
    <t>3층</t>
    <phoneticPr fontId="3" type="noConversion"/>
  </si>
  <si>
    <t>4층</t>
    <phoneticPr fontId="3" type="noConversion"/>
  </si>
  <si>
    <t>5층</t>
    <phoneticPr fontId="3" type="noConversion"/>
  </si>
  <si>
    <t>합계</t>
    <phoneticPr fontId="3" type="noConversion"/>
  </si>
  <si>
    <t>준비실(위)</t>
    <phoneticPr fontId="3" type="noConversion"/>
  </si>
  <si>
    <t>합계</t>
    <phoneticPr fontId="3" type="noConversion"/>
  </si>
  <si>
    <t>지상1층</t>
    <phoneticPr fontId="3" type="noConversion"/>
  </si>
  <si>
    <t>미술실</t>
    <phoneticPr fontId="3" type="noConversion"/>
  </si>
  <si>
    <t>준비실</t>
    <phoneticPr fontId="3" type="noConversion"/>
  </si>
  <si>
    <t>기술실</t>
    <phoneticPr fontId="3" type="noConversion"/>
  </si>
  <si>
    <t>시설관리실</t>
    <phoneticPr fontId="3" type="noConversion"/>
  </si>
  <si>
    <t>행정실</t>
    <phoneticPr fontId="3" type="noConversion"/>
  </si>
  <si>
    <t>문서고</t>
    <phoneticPr fontId="3" type="noConversion"/>
  </si>
  <si>
    <t>교장실</t>
    <phoneticPr fontId="3" type="noConversion"/>
  </si>
  <si>
    <t>회의실</t>
    <phoneticPr fontId="3" type="noConversion"/>
  </si>
  <si>
    <t>보건실</t>
    <phoneticPr fontId="3" type="noConversion"/>
  </si>
  <si>
    <t>지하1층</t>
    <phoneticPr fontId="3" type="noConversion"/>
  </si>
  <si>
    <t>시청각실</t>
    <phoneticPr fontId="3" type="noConversion"/>
  </si>
  <si>
    <t>준비실(위)</t>
    <phoneticPr fontId="3" type="noConversion"/>
  </si>
  <si>
    <t>실필요부하합계</t>
    <phoneticPr fontId="3" type="noConversion"/>
  </si>
  <si>
    <t>지상1층</t>
    <phoneticPr fontId="3" type="noConversion"/>
  </si>
  <si>
    <t>미술실</t>
    <phoneticPr fontId="3" type="noConversion"/>
  </si>
  <si>
    <t>준비실</t>
    <phoneticPr fontId="3" type="noConversion"/>
  </si>
  <si>
    <t>기술실</t>
    <phoneticPr fontId="3" type="noConversion"/>
  </si>
  <si>
    <t>시설관리실</t>
    <phoneticPr fontId="3" type="noConversion"/>
  </si>
  <si>
    <t>행정실</t>
    <phoneticPr fontId="3" type="noConversion"/>
  </si>
  <si>
    <t>문서고</t>
    <phoneticPr fontId="3" type="noConversion"/>
  </si>
  <si>
    <t>교장실</t>
    <phoneticPr fontId="3" type="noConversion"/>
  </si>
  <si>
    <t>회의실</t>
    <phoneticPr fontId="3" type="noConversion"/>
  </si>
  <si>
    <t>보건실</t>
    <phoneticPr fontId="3" type="noConversion"/>
  </si>
  <si>
    <t>전기실</t>
    <phoneticPr fontId="3" type="noConversion"/>
  </si>
  <si>
    <t>방재실</t>
    <phoneticPr fontId="3" type="noConversion"/>
  </si>
  <si>
    <t>탈의실</t>
    <phoneticPr fontId="3" type="noConversion"/>
  </si>
  <si>
    <t>지하1층</t>
    <phoneticPr fontId="3" type="noConversion"/>
  </si>
  <si>
    <t>시청각실</t>
    <phoneticPr fontId="3" type="noConversion"/>
  </si>
  <si>
    <t>준비실(위)</t>
    <phoneticPr fontId="3" type="noConversion"/>
  </si>
  <si>
    <t>합계</t>
    <phoneticPr fontId="3" type="noConversion"/>
  </si>
  <si>
    <t>지상1층</t>
    <phoneticPr fontId="3" type="noConversion"/>
  </si>
  <si>
    <t>미술실</t>
    <phoneticPr fontId="3" type="noConversion"/>
  </si>
  <si>
    <t>준비실</t>
    <phoneticPr fontId="3" type="noConversion"/>
  </si>
  <si>
    <t>기술실</t>
    <phoneticPr fontId="3" type="noConversion"/>
  </si>
  <si>
    <t>시설관리실</t>
    <phoneticPr fontId="3" type="noConversion"/>
  </si>
  <si>
    <t>행정실</t>
    <phoneticPr fontId="3" type="noConversion"/>
  </si>
  <si>
    <t>문서고</t>
    <phoneticPr fontId="3" type="noConversion"/>
  </si>
  <si>
    <t>교장실</t>
    <phoneticPr fontId="3" type="noConversion"/>
  </si>
  <si>
    <t>회의실</t>
    <phoneticPr fontId="3" type="noConversion"/>
  </si>
  <si>
    <t>임산교사휴게실</t>
    <phoneticPr fontId="3" type="noConversion"/>
  </si>
  <si>
    <t>보건실</t>
    <phoneticPr fontId="3" type="noConversion"/>
  </si>
  <si>
    <t>※ NOTE</t>
    <phoneticPr fontId="3" type="noConversion"/>
  </si>
  <si>
    <t>1. 최종보정값은 배관길이,온도차,제상운전에 관한 보정계수 적용값이며, 보정계수는 장비 및 현장조건에 따라 달라짐.</t>
    <phoneticPr fontId="3" type="noConversion"/>
  </si>
  <si>
    <t>준비실(아래)</t>
    <phoneticPr fontId="3" type="noConversion"/>
  </si>
  <si>
    <t>TOTAL</t>
    <phoneticPr fontId="3" type="noConversion"/>
  </si>
  <si>
    <t>도서실,미디어실</t>
    <phoneticPr fontId="3" type="noConversion"/>
  </si>
  <si>
    <t>RPUB081X9E</t>
  </si>
  <si>
    <t>RPUB101X9E</t>
  </si>
  <si>
    <t>RPUB121X9E</t>
  </si>
  <si>
    <t>RPUB141X9E</t>
  </si>
  <si>
    <t>RPUB161X9E</t>
  </si>
  <si>
    <t>RPUB181X9E</t>
  </si>
  <si>
    <t>RPUB201X9E</t>
  </si>
  <si>
    <t>RP-B261X9E</t>
  </si>
  <si>
    <t>RP-B281X9E</t>
  </si>
  <si>
    <t>RP-B301X9E</t>
  </si>
  <si>
    <t>RP-B321X9E</t>
  </si>
  <si>
    <t>RP-B341X9E</t>
  </si>
  <si>
    <t>RP-B361X9E</t>
  </si>
  <si>
    <t>RP-B381X9E</t>
  </si>
  <si>
    <t>RP-B401X9E</t>
  </si>
  <si>
    <t>RNW0400C2S</t>
  </si>
  <si>
    <t>합계</t>
    <phoneticPr fontId="3" type="noConversion"/>
  </si>
  <si>
    <t>실내기</t>
    <phoneticPr fontId="3" type="noConversion"/>
  </si>
  <si>
    <t>실외기</t>
    <phoneticPr fontId="3" type="noConversion"/>
  </si>
  <si>
    <t>합계</t>
    <phoneticPr fontId="3" type="noConversion"/>
  </si>
  <si>
    <t>상업용</t>
    <phoneticPr fontId="3" type="noConversion"/>
  </si>
  <si>
    <t>주거용</t>
    <phoneticPr fontId="3" type="noConversion"/>
  </si>
  <si>
    <t>■ 상업용/주거용 냉난방 장비선정표</t>
    <phoneticPr fontId="3" type="noConversion"/>
  </si>
  <si>
    <t>130T</t>
    <phoneticPr fontId="3" type="noConversion"/>
  </si>
  <si>
    <t>52T</t>
    <phoneticPr fontId="3" type="noConversion"/>
  </si>
  <si>
    <t>72T</t>
    <phoneticPr fontId="3" type="noConversion"/>
  </si>
  <si>
    <t>83T</t>
    <phoneticPr fontId="3" type="noConversion"/>
  </si>
  <si>
    <t>145T</t>
    <phoneticPr fontId="3" type="noConversion"/>
  </si>
  <si>
    <t>Q12K</t>
    <phoneticPr fontId="3" type="noConversion"/>
  </si>
  <si>
    <t>Q16K</t>
    <phoneticPr fontId="3" type="noConversion"/>
  </si>
  <si>
    <t>Q4</t>
    <phoneticPr fontId="3" type="noConversion"/>
  </si>
  <si>
    <t>중대형</t>
    <phoneticPr fontId="3" type="noConversion"/>
  </si>
  <si>
    <t>싱글</t>
    <phoneticPr fontId="3" type="noConversion"/>
  </si>
  <si>
    <t>RNW0521G2S</t>
  </si>
  <si>
    <t>RNW0601G2S</t>
  </si>
  <si>
    <t>RNW0721G2S</t>
  </si>
  <si>
    <t>Multi V 실내기 (EHP)</t>
    <phoneticPr fontId="3" type="noConversion"/>
  </si>
  <si>
    <t>Multi V Super 실외기</t>
    <phoneticPr fontId="3" type="noConversion"/>
  </si>
  <si>
    <t>Multi V S 실외기 (상업용)</t>
    <phoneticPr fontId="3" type="noConversion"/>
  </si>
  <si>
    <t>슈퍼5 고효율한랭지</t>
    <phoneticPr fontId="3" type="noConversion"/>
  </si>
  <si>
    <t>RPUW08EX9H</t>
    <phoneticPr fontId="3" type="noConversion"/>
  </si>
  <si>
    <t>스탠드</t>
    <phoneticPr fontId="3" type="noConversion"/>
  </si>
  <si>
    <t>RNW0230L2S</t>
    <phoneticPr fontId="3" type="noConversion"/>
  </si>
  <si>
    <t>Multi V S 주거형 실내기</t>
    <phoneticPr fontId="3" type="noConversion"/>
  </si>
  <si>
    <t>Multi V 실내기 (FCU)</t>
    <phoneticPr fontId="3" type="noConversion"/>
  </si>
  <si>
    <t>냉방(W)</t>
    <phoneticPr fontId="3" type="noConversion"/>
  </si>
  <si>
    <t>난방(W)</t>
    <phoneticPr fontId="3" type="noConversion"/>
  </si>
  <si>
    <t>동시형 실외기</t>
    <phoneticPr fontId="3" type="noConversion"/>
  </si>
  <si>
    <t>환기</t>
    <phoneticPr fontId="3" type="noConversion"/>
  </si>
  <si>
    <t>RP-B421X9E</t>
    <phoneticPr fontId="3" type="noConversion"/>
  </si>
  <si>
    <t>RP-B441X9E</t>
    <phoneticPr fontId="3" type="noConversion"/>
  </si>
  <si>
    <t>RP-B461X9E</t>
    <phoneticPr fontId="3" type="noConversion"/>
  </si>
  <si>
    <t>RP-B481X9E</t>
    <phoneticPr fontId="3" type="noConversion"/>
  </si>
  <si>
    <t>슈퍼5 고급형</t>
    <phoneticPr fontId="3" type="noConversion"/>
  </si>
  <si>
    <t>RPUB221X9E</t>
    <phoneticPr fontId="3" type="noConversion"/>
  </si>
  <si>
    <t>RNW2900B2S</t>
    <phoneticPr fontId="3" type="noConversion"/>
  </si>
  <si>
    <t>RNW0230U2S</t>
    <phoneticPr fontId="3" type="noConversion"/>
  </si>
  <si>
    <t>RNW0320U2S</t>
    <phoneticPr fontId="3" type="noConversion"/>
  </si>
  <si>
    <t>RNW0400U2S</t>
    <phoneticPr fontId="3" type="noConversion"/>
  </si>
  <si>
    <t>RNW0520U2S</t>
    <phoneticPr fontId="3" type="noConversion"/>
  </si>
  <si>
    <t>RNW0600U2S</t>
    <phoneticPr fontId="3" type="noConversion"/>
  </si>
  <si>
    <t>RNW0720U2S</t>
    <phoneticPr fontId="3" type="noConversion"/>
  </si>
  <si>
    <t>RNW0230H2S</t>
    <phoneticPr fontId="3" type="noConversion"/>
  </si>
  <si>
    <t>RNW0320H2S</t>
    <phoneticPr fontId="3" type="noConversion"/>
  </si>
  <si>
    <t>RNW0400H2S</t>
    <phoneticPr fontId="3" type="noConversion"/>
  </si>
  <si>
    <t>RNW0520H2S</t>
    <phoneticPr fontId="3" type="noConversion"/>
  </si>
  <si>
    <t>RNW0600H2S</t>
    <phoneticPr fontId="3" type="noConversion"/>
  </si>
  <si>
    <t>RNW0720H2S</t>
    <phoneticPr fontId="3" type="noConversion"/>
  </si>
  <si>
    <t>RNW0230R2S</t>
    <phoneticPr fontId="3" type="noConversion"/>
  </si>
  <si>
    <t>RNW0320R2S</t>
    <phoneticPr fontId="3" type="noConversion"/>
  </si>
  <si>
    <t>RNW0400R2S</t>
    <phoneticPr fontId="3" type="noConversion"/>
  </si>
  <si>
    <t>RNW0520R2S</t>
    <phoneticPr fontId="3" type="noConversion"/>
  </si>
  <si>
    <t>RNW1450P2S</t>
    <phoneticPr fontId="3" type="noConversion"/>
  </si>
  <si>
    <t>RNW2900P2S</t>
    <phoneticPr fontId="3" type="noConversion"/>
  </si>
  <si>
    <t>RPUW081X9P</t>
    <phoneticPr fontId="3" type="noConversion"/>
  </si>
  <si>
    <t>RPUW101X9P</t>
    <phoneticPr fontId="3" type="noConversion"/>
  </si>
  <si>
    <t>RPUW121X9P</t>
    <phoneticPr fontId="3" type="noConversion"/>
  </si>
  <si>
    <t>RPUW141X9P</t>
    <phoneticPr fontId="3" type="noConversion"/>
  </si>
  <si>
    <t>RPUW161X9P</t>
    <phoneticPr fontId="3" type="noConversion"/>
  </si>
  <si>
    <t>RPUW181X9P</t>
    <phoneticPr fontId="3" type="noConversion"/>
  </si>
  <si>
    <t>RPUW201X9P</t>
    <phoneticPr fontId="3" type="noConversion"/>
  </si>
  <si>
    <t>RPUW221X9P</t>
    <phoneticPr fontId="3" type="noConversion"/>
  </si>
  <si>
    <t>RPUW241X9P</t>
    <phoneticPr fontId="3" type="noConversion"/>
  </si>
  <si>
    <t>RPUW261X9P</t>
    <phoneticPr fontId="3" type="noConversion"/>
  </si>
  <si>
    <t>RP-W261X9P</t>
    <phoneticPr fontId="3" type="noConversion"/>
  </si>
  <si>
    <t>RP-W281X9P</t>
    <phoneticPr fontId="3" type="noConversion"/>
  </si>
  <si>
    <t>RP-W301X9P</t>
    <phoneticPr fontId="3" type="noConversion"/>
  </si>
  <si>
    <t>RP-W321X9P</t>
    <phoneticPr fontId="3" type="noConversion"/>
  </si>
  <si>
    <t>RP-W341X9P</t>
    <phoneticPr fontId="3" type="noConversion"/>
  </si>
  <si>
    <t>RP-W361X9P</t>
    <phoneticPr fontId="3" type="noConversion"/>
  </si>
  <si>
    <t>RP-W381X9P</t>
    <phoneticPr fontId="3" type="noConversion"/>
  </si>
  <si>
    <t>RP-W401X9P</t>
    <phoneticPr fontId="3" type="noConversion"/>
  </si>
  <si>
    <t>RP-W421X9P</t>
    <phoneticPr fontId="3" type="noConversion"/>
  </si>
  <si>
    <t>RP-W441X9P</t>
    <phoneticPr fontId="3" type="noConversion"/>
  </si>
  <si>
    <t>RP-W461X9P</t>
    <phoneticPr fontId="3" type="noConversion"/>
  </si>
  <si>
    <t>RP-W481X9P</t>
    <phoneticPr fontId="3" type="noConversion"/>
  </si>
  <si>
    <t>RPUW101X9M</t>
    <phoneticPr fontId="3" type="noConversion"/>
  </si>
  <si>
    <t>RPUW121X9M</t>
    <phoneticPr fontId="3" type="noConversion"/>
  </si>
  <si>
    <t>RPUW141X9M</t>
    <phoneticPr fontId="3" type="noConversion"/>
  </si>
  <si>
    <t>RPUW161X9M</t>
    <phoneticPr fontId="3" type="noConversion"/>
  </si>
  <si>
    <t>RPUW181X9M</t>
    <phoneticPr fontId="3" type="noConversion"/>
  </si>
  <si>
    <t>RPUW201X9M</t>
    <phoneticPr fontId="3" type="noConversion"/>
  </si>
  <si>
    <t>벽걸이</t>
    <phoneticPr fontId="3" type="noConversion"/>
  </si>
  <si>
    <t>2in1</t>
    <phoneticPr fontId="3" type="noConversion"/>
  </si>
  <si>
    <t>모델명</t>
    <phoneticPr fontId="3" type="noConversion"/>
  </si>
  <si>
    <t>냉방(w)</t>
    <phoneticPr fontId="3" type="noConversion"/>
  </si>
  <si>
    <t>FQ161DT1WMW</t>
    <phoneticPr fontId="3" type="noConversion"/>
  </si>
  <si>
    <t>FQ181DT1WMW</t>
    <phoneticPr fontId="3" type="noConversion"/>
  </si>
  <si>
    <t>FQ201ST1WMW</t>
    <phoneticPr fontId="3" type="noConversion"/>
  </si>
  <si>
    <t>FQ231SC1WCW</t>
    <phoneticPr fontId="3" type="noConversion"/>
  </si>
  <si>
    <t>FQ251SC1WCW</t>
    <phoneticPr fontId="3" type="noConversion"/>
  </si>
  <si>
    <t>SJQ061BM2W</t>
    <phoneticPr fontId="3" type="noConversion"/>
  </si>
  <si>
    <t>SJQ061BM3W</t>
    <phoneticPr fontId="3" type="noConversion"/>
  </si>
  <si>
    <t>SJQ061BM5W</t>
    <phoneticPr fontId="3" type="noConversion"/>
  </si>
  <si>
    <t>SJQ071BM1W</t>
    <phoneticPr fontId="3" type="noConversion"/>
  </si>
  <si>
    <t>SJQ071PC1W</t>
    <phoneticPr fontId="3" type="noConversion"/>
  </si>
  <si>
    <t>난방(w)</t>
    <phoneticPr fontId="3" type="noConversion"/>
  </si>
  <si>
    <t>Hybrid XEO (물-물)</t>
    <phoneticPr fontId="3" type="noConversion"/>
  </si>
  <si>
    <t>1way 냉전</t>
    <phoneticPr fontId="3" type="noConversion"/>
  </si>
  <si>
    <t>상업용 천장형</t>
    <phoneticPr fontId="3" type="noConversion"/>
  </si>
  <si>
    <t>1way 일반형</t>
    <phoneticPr fontId="3" type="noConversion"/>
  </si>
  <si>
    <t>RNW0200C2S</t>
  </si>
  <si>
    <t>RNW0320C2S</t>
  </si>
  <si>
    <t>RNW0520C2S</t>
  </si>
  <si>
    <t>RNW0600C2S</t>
  </si>
  <si>
    <t>RNW0230M2S</t>
  </si>
  <si>
    <t>RNW0320M2S</t>
  </si>
  <si>
    <t>52M</t>
    <phoneticPr fontId="3" type="noConversion"/>
  </si>
  <si>
    <t>장비
번호</t>
    <phoneticPr fontId="3" type="noConversion"/>
  </si>
  <si>
    <t>20C</t>
    <phoneticPr fontId="3" type="noConversion"/>
  </si>
  <si>
    <t>23C</t>
    <phoneticPr fontId="3" type="noConversion"/>
  </si>
  <si>
    <t>32C</t>
    <phoneticPr fontId="3" type="noConversion"/>
  </si>
  <si>
    <t>40C</t>
    <phoneticPr fontId="3" type="noConversion"/>
  </si>
  <si>
    <t>52C</t>
    <phoneticPr fontId="3" type="noConversion"/>
  </si>
  <si>
    <t>60C</t>
    <phoneticPr fontId="3" type="noConversion"/>
  </si>
  <si>
    <t>72C</t>
    <phoneticPr fontId="3" type="noConversion"/>
  </si>
  <si>
    <t>52G</t>
    <phoneticPr fontId="3" type="noConversion"/>
  </si>
  <si>
    <t>60G</t>
    <phoneticPr fontId="3" type="noConversion"/>
  </si>
  <si>
    <t>72G</t>
    <phoneticPr fontId="3" type="noConversion"/>
  </si>
  <si>
    <t>23M</t>
    <phoneticPr fontId="3" type="noConversion"/>
  </si>
  <si>
    <t>32M</t>
    <phoneticPr fontId="3" type="noConversion"/>
  </si>
  <si>
    <t>40M</t>
    <phoneticPr fontId="3" type="noConversion"/>
  </si>
  <si>
    <t>52M</t>
    <phoneticPr fontId="3" type="noConversion"/>
  </si>
  <si>
    <t>40T</t>
    <phoneticPr fontId="3" type="noConversion"/>
  </si>
  <si>
    <t>52T</t>
    <phoneticPr fontId="3" type="noConversion"/>
  </si>
  <si>
    <t>60T</t>
    <phoneticPr fontId="3" type="noConversion"/>
  </si>
  <si>
    <t>72T</t>
    <phoneticPr fontId="3" type="noConversion"/>
  </si>
  <si>
    <t>83T</t>
    <phoneticPr fontId="3" type="noConversion"/>
  </si>
  <si>
    <t>100T</t>
    <phoneticPr fontId="3" type="noConversion"/>
  </si>
  <si>
    <t>110T</t>
    <phoneticPr fontId="3" type="noConversion"/>
  </si>
  <si>
    <t>130T</t>
    <phoneticPr fontId="3" type="noConversion"/>
  </si>
  <si>
    <t>145T</t>
    <phoneticPr fontId="3" type="noConversion"/>
  </si>
  <si>
    <t>장비
번호</t>
    <phoneticPr fontId="3" type="noConversion"/>
  </si>
  <si>
    <t>60G</t>
    <phoneticPr fontId="3" type="noConversion"/>
  </si>
  <si>
    <t>72G</t>
    <phoneticPr fontId="3" type="noConversion"/>
  </si>
  <si>
    <t>23M</t>
    <phoneticPr fontId="3" type="noConversion"/>
  </si>
  <si>
    <t>32M</t>
    <phoneticPr fontId="3" type="noConversion"/>
  </si>
  <si>
    <t>40M</t>
    <phoneticPr fontId="3" type="noConversion"/>
  </si>
  <si>
    <t>40T</t>
    <phoneticPr fontId="3" type="noConversion"/>
  </si>
  <si>
    <t>60T</t>
    <phoneticPr fontId="3" type="noConversion"/>
  </si>
  <si>
    <t>100T</t>
    <phoneticPr fontId="3" type="noConversion"/>
  </si>
  <si>
    <t>110T</t>
    <phoneticPr fontId="3" type="noConversion"/>
  </si>
  <si>
    <t>Q20C</t>
    <phoneticPr fontId="3" type="noConversion"/>
  </si>
  <si>
    <t>Q23C</t>
    <phoneticPr fontId="3" type="noConversion"/>
  </si>
  <si>
    <t>Q32C</t>
    <phoneticPr fontId="3" type="noConversion"/>
  </si>
  <si>
    <t>Q40C</t>
    <phoneticPr fontId="3" type="noConversion"/>
  </si>
  <si>
    <t>Q52C</t>
    <phoneticPr fontId="3" type="noConversion"/>
  </si>
  <si>
    <t>Q60C</t>
    <phoneticPr fontId="3" type="noConversion"/>
  </si>
  <si>
    <t>Q72C</t>
    <phoneticPr fontId="3" type="noConversion"/>
  </si>
  <si>
    <t>Q5</t>
    <phoneticPr fontId="3" type="noConversion"/>
  </si>
  <si>
    <t>Q6</t>
    <phoneticPr fontId="3" type="noConversion"/>
  </si>
  <si>
    <t>Q8</t>
    <phoneticPr fontId="3" type="noConversion"/>
  </si>
  <si>
    <t>Q10</t>
    <phoneticPr fontId="3" type="noConversion"/>
  </si>
  <si>
    <t>Q2.5</t>
    <phoneticPr fontId="3" type="noConversion"/>
  </si>
  <si>
    <t>Q3</t>
    <phoneticPr fontId="3" type="noConversion"/>
  </si>
  <si>
    <t>20M</t>
    <phoneticPr fontId="3" type="noConversion"/>
  </si>
  <si>
    <t>RNW1100T2S</t>
  </si>
  <si>
    <t>RNW0720C2S</t>
  </si>
  <si>
    <t>Q20K</t>
    <phoneticPr fontId="3" type="noConversion"/>
  </si>
  <si>
    <t>P1</t>
    <phoneticPr fontId="3" type="noConversion"/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</si>
  <si>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</si>
  <si>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</si>
  <si>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</si>
  <si>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</si>
  <si>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</si>
  <si>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</si>
  <si>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</si>
  <si>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</si>
  <si>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</si>
  <si>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</si>
  <si>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P15</t>
  </si>
  <si>
    <t>P16</t>
  </si>
  <si>
    <t>P17</t>
  </si>
  <si>
    <t>P18</t>
  </si>
  <si>
    <t>P12</t>
    <phoneticPr fontId="3" type="noConversion"/>
  </si>
  <si>
    <t>P13</t>
    <phoneticPr fontId="3" type="noConversion"/>
  </si>
  <si>
    <t>모델명</t>
    <phoneticPr fontId="3" type="noConversion"/>
  </si>
  <si>
    <t>P19</t>
  </si>
  <si>
    <t>P20</t>
  </si>
  <si>
    <t>P21</t>
  </si>
  <si>
    <t>P22</t>
  </si>
  <si>
    <t>P23</t>
  </si>
  <si>
    <t>P24</t>
  </si>
  <si>
    <t>P25</t>
  </si>
  <si>
    <t>P26</t>
  </si>
  <si>
    <t>VW0720M2S</t>
    <phoneticPr fontId="3" type="noConversion"/>
  </si>
  <si>
    <t>VW0830M2S</t>
    <phoneticPr fontId="3" type="noConversion"/>
  </si>
  <si>
    <t>VW1300M9S</t>
    <phoneticPr fontId="3" type="noConversion"/>
  </si>
  <si>
    <t>VW1450M9S</t>
    <phoneticPr fontId="3" type="noConversion"/>
  </si>
  <si>
    <t>콘솔</t>
    <phoneticPr fontId="3" type="noConversion"/>
  </si>
  <si>
    <t>QW0320A2S</t>
    <phoneticPr fontId="3" type="noConversion"/>
  </si>
  <si>
    <t>QW0400A2S</t>
    <phoneticPr fontId="3" type="noConversion"/>
  </si>
  <si>
    <t xml:space="preserve">(A) 실내측 27℃ DB/ 19℃ WB, </t>
    <phoneticPr fontId="3" type="noConversion"/>
  </si>
  <si>
    <t xml:space="preserve">     냉수 입/출구온도 7℃/12℃</t>
    <phoneticPr fontId="3" type="noConversion"/>
  </si>
  <si>
    <t>※ 냉방조건</t>
    <phoneticPr fontId="3" type="noConversion"/>
  </si>
  <si>
    <t xml:space="preserve">(B) 실내측 27℃ DB/ 19.5℃ WB, </t>
    <phoneticPr fontId="3" type="noConversion"/>
  </si>
  <si>
    <t>※ 난방조건</t>
    <phoneticPr fontId="3" type="noConversion"/>
  </si>
  <si>
    <t xml:space="preserve">(A) 실내측 20℃ DB/ 15℃ WB, </t>
    <phoneticPr fontId="3" type="noConversion"/>
  </si>
  <si>
    <t xml:space="preserve">     온수 입/출구온도 60℃</t>
    <phoneticPr fontId="3" type="noConversion"/>
  </si>
  <si>
    <t xml:space="preserve">(B) 실내측 21℃ DB/ 15℃ WB, </t>
    <phoneticPr fontId="3" type="noConversion"/>
  </si>
  <si>
    <t>WF1A008C2T1(A)</t>
    <phoneticPr fontId="3" type="noConversion"/>
  </si>
  <si>
    <t>WF1A008C2T1(B)</t>
    <phoneticPr fontId="3" type="noConversion"/>
  </si>
  <si>
    <t>WF1A009C2T1(A)</t>
    <phoneticPr fontId="3" type="noConversion"/>
  </si>
  <si>
    <t>WF1A009C2T1(B)</t>
    <phoneticPr fontId="3" type="noConversion"/>
  </si>
  <si>
    <t>WF1A011C2T1(A)</t>
    <phoneticPr fontId="3" type="noConversion"/>
  </si>
  <si>
    <t>WF1A011C2T1(B)</t>
    <phoneticPr fontId="3" type="noConversion"/>
  </si>
  <si>
    <t>WF1A013C2T1(A)</t>
    <phoneticPr fontId="3" type="noConversion"/>
  </si>
  <si>
    <t>WF1A013C2T1(B)</t>
    <phoneticPr fontId="3" type="noConversion"/>
  </si>
  <si>
    <t>WF2A013C2T2(A)</t>
    <phoneticPr fontId="3" type="noConversion"/>
  </si>
  <si>
    <t>WF2A013C2T2(B)</t>
    <phoneticPr fontId="3" type="noConversion"/>
  </si>
  <si>
    <t>WF2A016C2T2(A)</t>
    <phoneticPr fontId="3" type="noConversion"/>
  </si>
  <si>
    <t>WF2A016C2T2(B)</t>
    <phoneticPr fontId="3" type="noConversion"/>
  </si>
  <si>
    <t>WF4A012C2T1(A)</t>
    <phoneticPr fontId="3" type="noConversion"/>
  </si>
  <si>
    <t>WF4A012C2T1(B)</t>
    <phoneticPr fontId="3" type="noConversion"/>
  </si>
  <si>
    <t>WF4A019C2T1(A)</t>
    <phoneticPr fontId="3" type="noConversion"/>
  </si>
  <si>
    <t>WF4A019C2T1(B)</t>
    <phoneticPr fontId="3" type="noConversion"/>
  </si>
  <si>
    <t>WF4A021C2T1(A)</t>
    <phoneticPr fontId="3" type="noConversion"/>
  </si>
  <si>
    <t>WF4A021C2T1(B)</t>
    <phoneticPr fontId="3" type="noConversion"/>
  </si>
  <si>
    <t>WF4A025C2T1(A)</t>
    <phoneticPr fontId="3" type="noConversion"/>
  </si>
  <si>
    <t>WF4A025C2T1(B)</t>
    <phoneticPr fontId="3" type="noConversion"/>
  </si>
  <si>
    <t>WF4A031C2T1(A)</t>
    <phoneticPr fontId="3" type="noConversion"/>
  </si>
  <si>
    <t>WF4A031C2T1(B)</t>
    <phoneticPr fontId="3" type="noConversion"/>
  </si>
  <si>
    <t>WF4A041C2T1(A)</t>
    <phoneticPr fontId="3" type="noConversion"/>
  </si>
  <si>
    <t>WF4A041C2T1(B)</t>
    <phoneticPr fontId="3" type="noConversion"/>
  </si>
  <si>
    <t>WFTA009L2T1(A)</t>
    <phoneticPr fontId="3" type="noConversion"/>
  </si>
  <si>
    <t>WFTA009L2T1(B)</t>
    <phoneticPr fontId="3" type="noConversion"/>
  </si>
  <si>
    <t>WFTA013L2T1(A)</t>
    <phoneticPr fontId="3" type="noConversion"/>
  </si>
  <si>
    <t>WFTA013L2T1(B)</t>
    <phoneticPr fontId="3" type="noConversion"/>
  </si>
  <si>
    <t>WFTB013L2T1(A)</t>
    <phoneticPr fontId="3" type="noConversion"/>
  </si>
  <si>
    <t>WFTB013L2T1(B)</t>
    <phoneticPr fontId="3" type="noConversion"/>
  </si>
  <si>
    <t>WFTB016L2T1(A)</t>
    <phoneticPr fontId="3" type="noConversion"/>
  </si>
  <si>
    <t>WFTB016L2T1(B)</t>
    <phoneticPr fontId="3" type="noConversion"/>
  </si>
  <si>
    <t>WFTB019L2T1(A)</t>
    <phoneticPr fontId="3" type="noConversion"/>
  </si>
  <si>
    <t>WFTB019L2T1(B)</t>
    <phoneticPr fontId="3" type="noConversion"/>
  </si>
  <si>
    <t>WFCA009R2T1(A)</t>
    <phoneticPr fontId="3" type="noConversion"/>
  </si>
  <si>
    <t>WFCA009R2T1(B)</t>
    <phoneticPr fontId="3" type="noConversion"/>
  </si>
  <si>
    <t>WFCA013R2T1(A)</t>
    <phoneticPr fontId="3" type="noConversion"/>
  </si>
  <si>
    <t>WFCA013R2T1(B)</t>
    <phoneticPr fontId="3" type="noConversion"/>
  </si>
  <si>
    <t>WFCA018R2T1(A)</t>
    <phoneticPr fontId="3" type="noConversion"/>
  </si>
  <si>
    <t>WFCA018R2T1(B)</t>
    <phoneticPr fontId="3" type="noConversion"/>
  </si>
  <si>
    <t>Multi V 실외기 (GHP)</t>
    <phoneticPr fontId="3" type="noConversion"/>
  </si>
  <si>
    <t>GHP3</t>
    <phoneticPr fontId="3" type="noConversion"/>
  </si>
  <si>
    <t>RGUW200C9E</t>
  </si>
  <si>
    <t>Multi V HS 실내기</t>
    <phoneticPr fontId="3" type="noConversion"/>
  </si>
  <si>
    <t>시스템보일러</t>
    <phoneticPr fontId="3" type="noConversion"/>
  </si>
  <si>
    <t>RPUW10EX9H</t>
    <phoneticPr fontId="3" type="noConversion"/>
  </si>
  <si>
    <t>RPUW14EX9H</t>
    <phoneticPr fontId="3" type="noConversion"/>
  </si>
  <si>
    <t>RPUW16EX9H</t>
    <phoneticPr fontId="3" type="noConversion"/>
  </si>
  <si>
    <t>RPUW261X9H</t>
    <phoneticPr fontId="3" type="noConversion"/>
  </si>
  <si>
    <t>RNW0521G2S</t>
    <phoneticPr fontId="3" type="noConversion"/>
  </si>
  <si>
    <t>RNW0601G2S</t>
    <phoneticPr fontId="3" type="noConversion"/>
  </si>
  <si>
    <t>RNW0721G2S</t>
    <phoneticPr fontId="3" type="noConversion"/>
  </si>
  <si>
    <t>RNW1450P2S</t>
    <phoneticPr fontId="3" type="noConversion"/>
  </si>
  <si>
    <t>RNW0230C2S</t>
    <phoneticPr fontId="3" type="noConversion"/>
  </si>
  <si>
    <t>RNW0320C2S</t>
    <phoneticPr fontId="3" type="noConversion"/>
  </si>
  <si>
    <t>RNW0400C2S</t>
    <phoneticPr fontId="3" type="noConversion"/>
  </si>
  <si>
    <t>RNW0520C2S</t>
    <phoneticPr fontId="3" type="noConversion"/>
  </si>
  <si>
    <t>RNW0600C2S</t>
    <phoneticPr fontId="3" type="noConversion"/>
  </si>
  <si>
    <t>RNW0720C2S</t>
    <phoneticPr fontId="3" type="noConversion"/>
  </si>
  <si>
    <t>RNW0400T2S</t>
    <phoneticPr fontId="3" type="noConversion"/>
  </si>
  <si>
    <t>RNW0520T2S</t>
    <phoneticPr fontId="3" type="noConversion"/>
  </si>
  <si>
    <t>RNW0600T2S</t>
    <phoneticPr fontId="3" type="noConversion"/>
  </si>
  <si>
    <t>RNW0720T2S</t>
    <phoneticPr fontId="3" type="noConversion"/>
  </si>
  <si>
    <t>RNW0830T2S</t>
    <phoneticPr fontId="3" type="noConversion"/>
  </si>
  <si>
    <t>RNW1000T2S</t>
    <phoneticPr fontId="3" type="noConversion"/>
  </si>
  <si>
    <t>RNW1100T2S</t>
    <phoneticPr fontId="3" type="noConversion"/>
  </si>
  <si>
    <t>RNW1300T2S</t>
    <phoneticPr fontId="3" type="noConversion"/>
  </si>
  <si>
    <t>RNW1450T2S</t>
    <phoneticPr fontId="3" type="noConversion"/>
  </si>
  <si>
    <t>RNW0200C2S</t>
    <phoneticPr fontId="3" type="noConversion"/>
  </si>
  <si>
    <t>RNW0230L2S</t>
    <phoneticPr fontId="3" type="noConversion"/>
  </si>
  <si>
    <t>RNW0320L2S</t>
    <phoneticPr fontId="3" type="noConversion"/>
  </si>
  <si>
    <t>RNW0400L2S</t>
    <phoneticPr fontId="3" type="noConversion"/>
  </si>
  <si>
    <t>RNW0520B2S</t>
    <phoneticPr fontId="3" type="noConversion"/>
  </si>
  <si>
    <t>RNW0600B2S</t>
    <phoneticPr fontId="3" type="noConversion"/>
  </si>
  <si>
    <t>RNW0720B2S</t>
    <phoneticPr fontId="3" type="noConversion"/>
  </si>
  <si>
    <t>RNW0830B2S</t>
    <phoneticPr fontId="3" type="noConversion"/>
  </si>
  <si>
    <t>RNW1000B2S</t>
    <phoneticPr fontId="3" type="noConversion"/>
  </si>
  <si>
    <t>RNW1100B2S</t>
    <phoneticPr fontId="3" type="noConversion"/>
  </si>
  <si>
    <t>RNW1300B2S</t>
    <phoneticPr fontId="3" type="noConversion"/>
  </si>
  <si>
    <t>RNW1450B2S</t>
    <phoneticPr fontId="3" type="noConversion"/>
  </si>
  <si>
    <t>RNW2300B2S</t>
    <phoneticPr fontId="3" type="noConversion"/>
  </si>
  <si>
    <t>RNW2900B2S</t>
    <phoneticPr fontId="3" type="noConversion"/>
  </si>
  <si>
    <t>RNW0230R2S</t>
    <phoneticPr fontId="3" type="noConversion"/>
  </si>
  <si>
    <t>RNW0320R2S</t>
    <phoneticPr fontId="3" type="noConversion"/>
  </si>
  <si>
    <t>RNW0400R2S</t>
    <phoneticPr fontId="3" type="noConversion"/>
  </si>
  <si>
    <t>RNW0520R2S</t>
    <phoneticPr fontId="3" type="noConversion"/>
  </si>
  <si>
    <t>RNW2900P2S</t>
    <phoneticPr fontId="3" type="noConversion"/>
  </si>
  <si>
    <t>RGUW200C9E</t>
    <phoneticPr fontId="3" type="noConversion"/>
  </si>
  <si>
    <t>A조건 : Multi V 실내기 (FCU)-인공지능</t>
    <phoneticPr fontId="3" type="noConversion"/>
  </si>
  <si>
    <t>모델명</t>
    <phoneticPr fontId="3" type="noConversion"/>
  </si>
  <si>
    <t>냉방(W)</t>
    <phoneticPr fontId="3" type="noConversion"/>
  </si>
  <si>
    <t>난방(W)</t>
    <phoneticPr fontId="3" type="noConversion"/>
  </si>
  <si>
    <t>1way</t>
    <phoneticPr fontId="3" type="noConversion"/>
  </si>
  <si>
    <t>WF1A008L2T3</t>
    <phoneticPr fontId="3" type="noConversion"/>
  </si>
  <si>
    <t>WF1A008R2T3</t>
    <phoneticPr fontId="3" type="noConversion"/>
  </si>
  <si>
    <t>WF1A009L2T3</t>
    <phoneticPr fontId="3" type="noConversion"/>
  </si>
  <si>
    <t>WF1A009R2T3</t>
    <phoneticPr fontId="3" type="noConversion"/>
  </si>
  <si>
    <t>WF1A011L2T3</t>
    <phoneticPr fontId="3" type="noConversion"/>
  </si>
  <si>
    <t>WF1A011R2T3</t>
    <phoneticPr fontId="3" type="noConversion"/>
  </si>
  <si>
    <t>WF1A013L2T3</t>
    <phoneticPr fontId="3" type="noConversion"/>
  </si>
  <si>
    <t>WF1A013R2T3</t>
    <phoneticPr fontId="3" type="noConversion"/>
  </si>
  <si>
    <t>2way</t>
    <phoneticPr fontId="3" type="noConversion"/>
  </si>
  <si>
    <t>WF2A013C2T3</t>
    <phoneticPr fontId="3" type="noConversion"/>
  </si>
  <si>
    <t>WF2A016C2T3</t>
    <phoneticPr fontId="3" type="noConversion"/>
  </si>
  <si>
    <t>4way</t>
    <phoneticPr fontId="3" type="noConversion"/>
  </si>
  <si>
    <t>WF4A012C2T3</t>
    <phoneticPr fontId="3" type="noConversion"/>
  </si>
  <si>
    <t>WF4A019C2T3</t>
    <phoneticPr fontId="3" type="noConversion"/>
  </si>
  <si>
    <t>WF4A021C2T3</t>
    <phoneticPr fontId="3" type="noConversion"/>
  </si>
  <si>
    <t>WF4A025C2T3</t>
    <phoneticPr fontId="3" type="noConversion"/>
  </si>
  <si>
    <t>WF4A031C2T3</t>
    <phoneticPr fontId="3" type="noConversion"/>
  </si>
  <si>
    <t>WF4A041C2T3</t>
    <phoneticPr fontId="3" type="noConversion"/>
  </si>
  <si>
    <t>B조건 : Multi V 실내기 (FCU)-인공지능</t>
    <phoneticPr fontId="3" type="noConversion"/>
  </si>
  <si>
    <t>WFCA009R2T3 </t>
  </si>
  <si>
    <t>WFCA013R2T3 </t>
  </si>
  <si>
    <t>WFCA018R2T3 </t>
  </si>
  <si>
    <t>덕트(슬림형)</t>
    <phoneticPr fontId="3" type="noConversion"/>
  </si>
  <si>
    <t>상치(슬림형)</t>
    <phoneticPr fontId="3" type="noConversion"/>
  </si>
  <si>
    <t>WFTA009L2T3</t>
  </si>
  <si>
    <t>WFTA013L2T3</t>
  </si>
  <si>
    <t>WFTB013L2T3</t>
  </si>
  <si>
    <t>WFTB016L2T3</t>
  </si>
  <si>
    <t>WFTB019L2T3</t>
  </si>
  <si>
    <t>1way 냉난방</t>
    <phoneticPr fontId="3" type="noConversion"/>
  </si>
  <si>
    <t>멀티V 5 프리미엄</t>
    <phoneticPr fontId="3" type="noConversion"/>
  </si>
  <si>
    <t>RNW0230R2S</t>
    <phoneticPr fontId="3" type="noConversion"/>
  </si>
  <si>
    <t>RNW0320R2S</t>
    <phoneticPr fontId="3" type="noConversion"/>
  </si>
  <si>
    <t>RNW0400R2S</t>
    <phoneticPr fontId="3" type="noConversion"/>
  </si>
  <si>
    <t>RNW0520R2S</t>
    <phoneticPr fontId="3" type="noConversion"/>
  </si>
  <si>
    <t>RNW0831B2S</t>
    <phoneticPr fontId="3" type="noConversion"/>
  </si>
  <si>
    <t>RNW1001B2S</t>
    <phoneticPr fontId="3" type="noConversion"/>
  </si>
  <si>
    <t>RNW1101B2S</t>
    <phoneticPr fontId="3" type="noConversion"/>
  </si>
  <si>
    <t>RNW1301B2S</t>
    <phoneticPr fontId="3" type="noConversion"/>
  </si>
  <si>
    <t>RNW1451B2S</t>
    <phoneticPr fontId="3" type="noConversion"/>
  </si>
  <si>
    <t>RNW0720V2S</t>
    <phoneticPr fontId="3" type="noConversion"/>
  </si>
  <si>
    <t>RNW1450V2S</t>
    <phoneticPr fontId="3" type="noConversion"/>
  </si>
  <si>
    <t>HT3500B9A</t>
    <phoneticPr fontId="3" type="noConversion"/>
  </si>
  <si>
    <t>HT1602B9AS</t>
    <phoneticPr fontId="3" type="noConversion"/>
  </si>
  <si>
    <t>HT2501B2AS</t>
    <phoneticPr fontId="3" type="noConversion"/>
  </si>
  <si>
    <t>HT2501B9AS</t>
    <phoneticPr fontId="3" type="noConversion"/>
  </si>
  <si>
    <t>HT2502B9A</t>
    <phoneticPr fontId="3" type="noConversion"/>
  </si>
  <si>
    <t>2way 냉난방</t>
    <phoneticPr fontId="3" type="noConversion"/>
  </si>
  <si>
    <t>매립덕트</t>
    <phoneticPr fontId="3" type="noConversion"/>
  </si>
  <si>
    <t>4way 냉전</t>
    <phoneticPr fontId="3" type="noConversion"/>
  </si>
  <si>
    <t>RNW1600W2S</t>
  </si>
  <si>
    <t>RNW3200W2S</t>
  </si>
  <si>
    <t>RNW5200W2S</t>
  </si>
  <si>
    <t>RNW1400Y2S</t>
  </si>
  <si>
    <t>RNW2500Y2S</t>
  </si>
  <si>
    <t>RNW0720S2S</t>
  </si>
  <si>
    <t>RNW0830S2S</t>
  </si>
  <si>
    <t>RNW1100S2S</t>
  </si>
  <si>
    <t>RNW1450S2S</t>
  </si>
  <si>
    <t>슈퍼5 슈프림</t>
    <phoneticPr fontId="3" type="noConversion"/>
  </si>
  <si>
    <t>RPUW08GX9E</t>
  </si>
  <si>
    <t>RPUW10GX9E</t>
  </si>
  <si>
    <t>RPUW12GX9E</t>
  </si>
  <si>
    <t>RPUW18GX9E</t>
  </si>
  <si>
    <t>RPUW20GX9E</t>
  </si>
  <si>
    <t>RP-W26GX9E</t>
  </si>
  <si>
    <t>RP-W28GX9E</t>
  </si>
  <si>
    <t>RP-W30GX9E</t>
  </si>
  <si>
    <t>RP-W32GX9E</t>
  </si>
  <si>
    <t>RP-W34GX9E</t>
  </si>
  <si>
    <t>RP-W36GX9E</t>
  </si>
  <si>
    <t>RP-W38GX9E</t>
  </si>
  <si>
    <t>RP-W40GX9E</t>
  </si>
  <si>
    <t>RP-W42GX9E</t>
  </si>
  <si>
    <t>RP-W44GX9E</t>
  </si>
  <si>
    <t>RP-W46GX9E</t>
  </si>
  <si>
    <t>RP-W48GX9E</t>
  </si>
  <si>
    <t>RPUW14GX9E</t>
    <phoneticPr fontId="3" type="noConversion"/>
  </si>
  <si>
    <t>RPUW16GX9E</t>
    <phoneticPr fontId="3" type="noConversion"/>
  </si>
  <si>
    <t>RP-W22GX9E</t>
    <phoneticPr fontId="3" type="noConversion"/>
  </si>
  <si>
    <t>RP-W24GX9E</t>
    <phoneticPr fontId="3" type="noConversion"/>
  </si>
  <si>
    <t>RPUW08JX9V</t>
    <phoneticPr fontId="3" type="noConversion"/>
  </si>
  <si>
    <t>RPUW10JX9V</t>
    <phoneticPr fontId="3" type="noConversion"/>
  </si>
  <si>
    <t>RPUW12JX9V</t>
    <phoneticPr fontId="3" type="noConversion"/>
  </si>
  <si>
    <t>RPUW14FX9V</t>
  </si>
  <si>
    <t>RPUW16FX9V</t>
  </si>
  <si>
    <t>RPUW18FX9V</t>
  </si>
  <si>
    <t>RPUW20FX9V</t>
  </si>
  <si>
    <t>RP-W22FX9V</t>
  </si>
  <si>
    <t>RP-W24FX9V</t>
  </si>
  <si>
    <t>RP-W26FX9V</t>
  </si>
  <si>
    <t>RP-W28FX9V</t>
  </si>
  <si>
    <t>RP-W30FX9V</t>
  </si>
  <si>
    <t>RP-W32FX9V</t>
  </si>
  <si>
    <t>RP-W34FX9V</t>
  </si>
  <si>
    <t>RP-W36FX9V</t>
  </si>
  <si>
    <t>RP-W38FX9V</t>
  </si>
  <si>
    <t>RP-W40FX9V</t>
  </si>
  <si>
    <t>RP-W42FX9V</t>
  </si>
  <si>
    <t>RP-W44FX9V</t>
  </si>
  <si>
    <t>RP-W46FX9V</t>
  </si>
  <si>
    <t>RP-W48FX9V</t>
  </si>
  <si>
    <t>슈퍼5 일반형</t>
    <phoneticPr fontId="3" type="noConversion"/>
  </si>
  <si>
    <t>RGUW260C9E</t>
    <phoneticPr fontId="3" type="noConversion"/>
  </si>
  <si>
    <t>4way 냉난방</t>
    <phoneticPr fontId="3" type="noConversion"/>
  </si>
  <si>
    <t>인공지능</t>
    <phoneticPr fontId="3" type="noConversion"/>
  </si>
  <si>
    <t>원형 카세트</t>
    <phoneticPr fontId="3" type="noConversion"/>
  </si>
  <si>
    <t>저정압덕트</t>
    <phoneticPr fontId="3" type="noConversion"/>
  </si>
  <si>
    <t>고정압덕트(좌배관)</t>
    <phoneticPr fontId="3" type="noConversion"/>
  </si>
  <si>
    <t>WFCB017L2T3</t>
  </si>
  <si>
    <t>WFCB020L2T3</t>
  </si>
  <si>
    <t>WFCB025L2T3</t>
  </si>
  <si>
    <t>WFCB030L2T3</t>
  </si>
  <si>
    <t>WFCB034L2T3</t>
  </si>
  <si>
    <t>WFCB039L2T3</t>
  </si>
  <si>
    <t>WFCB044L2T3</t>
  </si>
  <si>
    <t>고정압덕트(우배관)</t>
    <phoneticPr fontId="3" type="noConversion"/>
  </si>
  <si>
    <t>WFCB017R2T3</t>
  </si>
  <si>
    <t>WFCB020R2T3</t>
  </si>
  <si>
    <t>WFCB025R2T3</t>
  </si>
  <si>
    <t>WFCB030R2T3</t>
  </si>
  <si>
    <t>WFCB034R2T3</t>
  </si>
  <si>
    <t>WFCB039R2T3</t>
  </si>
  <si>
    <t>WFCB044R2T3</t>
  </si>
  <si>
    <t>RNW0400M2S</t>
    <phoneticPr fontId="3" type="noConversion"/>
  </si>
  <si>
    <t>RPUW281X9P</t>
    <phoneticPr fontId="3" type="noConversion"/>
  </si>
  <si>
    <t>WFCA009R2T1</t>
    <phoneticPr fontId="3" type="noConversion"/>
  </si>
  <si>
    <t>WFCA013R2T1</t>
    <phoneticPr fontId="3" type="noConversion"/>
  </si>
  <si>
    <t>WFCA018R2T1</t>
    <phoneticPr fontId="3" type="noConversion"/>
  </si>
  <si>
    <t>RPUQ041S2S</t>
  </si>
  <si>
    <t>RPUQ051S2S</t>
  </si>
  <si>
    <t>RPUQ061S2S</t>
  </si>
  <si>
    <t>PW0522R2S</t>
  </si>
  <si>
    <t>TW0522S2S</t>
  </si>
  <si>
    <t>TQ0401U2S</t>
  </si>
  <si>
    <t>TQ0521T2S</t>
  </si>
  <si>
    <t>TQ0601T2S</t>
  </si>
  <si>
    <t>TQ0721T2S</t>
  </si>
  <si>
    <t>RPUQ081S9S</t>
    <phoneticPr fontId="3" type="noConversion"/>
  </si>
  <si>
    <t>RPUQ101S9S</t>
    <phoneticPr fontId="3" type="noConversion"/>
  </si>
  <si>
    <t>RPUW081S9S</t>
    <phoneticPr fontId="3" type="noConversion"/>
  </si>
  <si>
    <t>RPUW101S9S</t>
    <phoneticPr fontId="3" type="noConversion"/>
  </si>
  <si>
    <t>RPUW121S9S</t>
    <phoneticPr fontId="3" type="noConversion"/>
  </si>
  <si>
    <t>RNW0230U2S</t>
    <phoneticPr fontId="3" type="noConversion"/>
  </si>
  <si>
    <t>RNW0520U2S</t>
    <phoneticPr fontId="3" type="noConversion"/>
  </si>
  <si>
    <t>RNW0600U2S</t>
    <phoneticPr fontId="3" type="noConversion"/>
  </si>
  <si>
    <t>RNW0720U2S</t>
    <phoneticPr fontId="3" type="noConversion"/>
  </si>
  <si>
    <t>RNW0320U2S</t>
    <phoneticPr fontId="3" type="noConversion"/>
  </si>
  <si>
    <t>RNW0400U2S</t>
    <phoneticPr fontId="3" type="noConversion"/>
  </si>
  <si>
    <t>RGUW240C9C</t>
  </si>
  <si>
    <t>ACGR0259BA3</t>
    <phoneticPr fontId="3" type="noConversion"/>
  </si>
  <si>
    <t>ACGR0359BA3</t>
  </si>
  <si>
    <t>ACGR0509BA3</t>
    <phoneticPr fontId="3" type="noConversion"/>
  </si>
  <si>
    <t>ACGR0559BA3</t>
  </si>
  <si>
    <t>ACGR0409BA2</t>
    <phoneticPr fontId="3" type="noConversion"/>
  </si>
  <si>
    <t>ACGR0609BA2</t>
    <phoneticPr fontId="3" type="noConversion"/>
  </si>
  <si>
    <t>ACGR0809BA2</t>
    <phoneticPr fontId="3" type="noConversion"/>
  </si>
  <si>
    <t>ACGR1009AA2</t>
    <phoneticPr fontId="3" type="noConversion"/>
  </si>
  <si>
    <t>ACGR1209AA2</t>
    <phoneticPr fontId="3" type="noConversion"/>
  </si>
  <si>
    <t>ACGR1409AA2</t>
    <phoneticPr fontId="3" type="noConversion"/>
  </si>
  <si>
    <t>ACGR1609AA2</t>
    <phoneticPr fontId="3" type="noConversion"/>
  </si>
  <si>
    <t>GPUW161C2S</t>
    <phoneticPr fontId="3" type="noConversion"/>
  </si>
  <si>
    <t>GPUW201C2S</t>
    <phoneticPr fontId="3" type="noConversion"/>
  </si>
  <si>
    <t>GPUW251C2S</t>
    <phoneticPr fontId="3" type="noConversion"/>
  </si>
  <si>
    <t>GPUW280C2S</t>
    <phoneticPr fontId="3" type="noConversion"/>
  </si>
  <si>
    <t>GPUW300C2S</t>
    <phoneticPr fontId="3" type="noConversion"/>
  </si>
  <si>
    <t>GPUW320C2S</t>
    <phoneticPr fontId="3" type="noConversion"/>
  </si>
  <si>
    <t>GP-W321C2S</t>
    <phoneticPr fontId="3" type="noConversion"/>
  </si>
  <si>
    <t>GP-W361C2S</t>
    <phoneticPr fontId="3" type="noConversion"/>
  </si>
  <si>
    <t>GP-W401C2S</t>
    <phoneticPr fontId="3" type="noConversion"/>
  </si>
  <si>
    <t>GP-W451C2S</t>
    <phoneticPr fontId="3" type="noConversion"/>
  </si>
  <si>
    <t>GP-W501C2S</t>
    <phoneticPr fontId="3" type="noConversion"/>
  </si>
  <si>
    <t>GP-W560C2S</t>
    <phoneticPr fontId="3" type="noConversion"/>
  </si>
  <si>
    <t>GP-W600C2S</t>
    <phoneticPr fontId="3" type="noConversion"/>
  </si>
  <si>
    <t>GP-W640C2S</t>
    <phoneticPr fontId="3" type="noConversion"/>
  </si>
  <si>
    <t>HW0900A2A</t>
    <phoneticPr fontId="3" type="noConversion"/>
  </si>
  <si>
    <t>HW1200A2A</t>
    <phoneticPr fontId="3" type="noConversion"/>
  </si>
  <si>
    <t>HW1600A2A</t>
    <phoneticPr fontId="3" type="noConversion"/>
  </si>
  <si>
    <t>RPUB241X9E</t>
    <phoneticPr fontId="3" type="noConversion"/>
  </si>
  <si>
    <t>1등급</t>
    <phoneticPr fontId="3" type="noConversion"/>
  </si>
  <si>
    <t>R-W0400C2S</t>
  </si>
  <si>
    <t>R-W0200C2S</t>
  </si>
  <si>
    <t>R-W0320C2S</t>
  </si>
  <si>
    <t>R-W0230C2S</t>
  </si>
  <si>
    <t>R-W0520C2S</t>
  </si>
  <si>
    <t>R-W0600C2S</t>
  </si>
  <si>
    <t>R-W0720C2S</t>
  </si>
  <si>
    <t>R-W0521G2S</t>
  </si>
  <si>
    <t>R-W0601G2S</t>
  </si>
  <si>
    <t>R-W0721G2S</t>
  </si>
  <si>
    <t>RPUW101S9S</t>
  </si>
  <si>
    <t>RPUQ081S9S</t>
  </si>
  <si>
    <t>RPUQ101S9S</t>
  </si>
  <si>
    <t>RPUW061S9S</t>
  </si>
  <si>
    <t>RPUW081S9S</t>
  </si>
  <si>
    <t>RPUW121S9S</t>
  </si>
  <si>
    <t>RPUQ0802S9R</t>
  </si>
  <si>
    <t>RPUQ1002S9R</t>
  </si>
  <si>
    <t>RGUW260C9E</t>
  </si>
  <si>
    <t>RNW0400T2S</t>
  </si>
  <si>
    <t>RNW0720T2S</t>
  </si>
  <si>
    <t>RNW0830T2S</t>
  </si>
  <si>
    <t>RNW1000T2S</t>
  </si>
  <si>
    <t>RNW1300T2S</t>
  </si>
  <si>
    <t>RNW1450T2S</t>
  </si>
  <si>
    <t>PQ2300F9SF</t>
  </si>
  <si>
    <t>PW0721R2SR</t>
  </si>
  <si>
    <t>PW2300F9SF</t>
  </si>
  <si>
    <t>PW2900F9SF</t>
  </si>
  <si>
    <t>PQ2900F9SF</t>
  </si>
  <si>
    <t>PQ4500N9SF</t>
  </si>
  <si>
    <t>PQ5800N9SF</t>
  </si>
  <si>
    <t>TW0400U2SC</t>
  </si>
  <si>
    <t>TW0320U2SC</t>
  </si>
  <si>
    <t>RNW0521B2S</t>
    <phoneticPr fontId="3" type="noConversion"/>
  </si>
  <si>
    <t>RNW0601B2S</t>
    <phoneticPr fontId="3" type="noConversion"/>
  </si>
  <si>
    <t>RNW0721B2S</t>
    <phoneticPr fontId="3" type="noConversion"/>
  </si>
  <si>
    <t>슈퍼5 냉전</t>
    <phoneticPr fontId="3" type="noConversion"/>
  </si>
  <si>
    <t>RPUQ081X9S</t>
  </si>
  <si>
    <t>RPUQ101X9S</t>
  </si>
  <si>
    <t>RPUQ121X9S</t>
  </si>
  <si>
    <t>RPUQ141X9S</t>
  </si>
  <si>
    <t>RPUQ161X9S</t>
  </si>
  <si>
    <t>RPUQ181X9S</t>
  </si>
  <si>
    <t>RPUQ201X9S</t>
  </si>
  <si>
    <t>RPUQ221X9S</t>
  </si>
  <si>
    <t>RPUQ241X9S</t>
  </si>
  <si>
    <t>RPUQ261X9S</t>
  </si>
  <si>
    <t>RP-Q281X9S</t>
  </si>
  <si>
    <t>RP-Q301X9S</t>
  </si>
  <si>
    <t>RP-Q321X9S</t>
  </si>
  <si>
    <t>RP-Q341X9S</t>
  </si>
  <si>
    <t>RP-Q361X9S</t>
  </si>
  <si>
    <t>RP-Q381X9S</t>
  </si>
  <si>
    <t>RP-Q401X9S</t>
  </si>
  <si>
    <t>RP-Q421X9S</t>
  </si>
  <si>
    <t>RP-Q441X9S</t>
  </si>
  <si>
    <t>RP-Q461X9S</t>
  </si>
  <si>
    <t>RP-Q481X9S</t>
  </si>
  <si>
    <t>RP-Q501X9S</t>
  </si>
  <si>
    <t>하이브리드</t>
    <phoneticPr fontId="3" type="noConversion"/>
  </si>
  <si>
    <t>하이브리드 실외기</t>
    <phoneticPr fontId="3" type="noConversion"/>
  </si>
  <si>
    <t>상업용(R32)</t>
    <phoneticPr fontId="3" type="noConversion"/>
  </si>
  <si>
    <t>RPUW041S2Z</t>
    <phoneticPr fontId="3" type="noConversion"/>
  </si>
  <si>
    <t>RPUW051S9Z</t>
  </si>
  <si>
    <t>RPUW061S9Z</t>
  </si>
  <si>
    <t>RPUW041S9Z</t>
    <phoneticPr fontId="3" type="noConversion"/>
  </si>
  <si>
    <t>RPUW051S2Z</t>
    <phoneticPr fontId="3" type="noConversion"/>
  </si>
  <si>
    <t>RPUW061S2Z</t>
    <phoneticPr fontId="3" type="noConversion"/>
  </si>
  <si>
    <t>White</t>
    <phoneticPr fontId="3" type="noConversion"/>
  </si>
  <si>
    <t>Black</t>
    <phoneticPr fontId="3" type="noConversion"/>
  </si>
  <si>
    <t>R-W0230M2S</t>
  </si>
  <si>
    <t>R-W0320M2S</t>
  </si>
  <si>
    <t>R-W0400M2S</t>
  </si>
  <si>
    <t>R-W0520M2S</t>
  </si>
  <si>
    <t>Q12C</t>
    <phoneticPr fontId="3" type="noConversion"/>
  </si>
  <si>
    <t>Q16C</t>
    <phoneticPr fontId="3" type="noConversion"/>
  </si>
  <si>
    <t>룸</t>
    <phoneticPr fontId="3" type="noConversion"/>
  </si>
  <si>
    <t>TQ0232U2S</t>
  </si>
  <si>
    <t>TQ0322U2S</t>
  </si>
  <si>
    <t>P13</t>
    <phoneticPr fontId="3" type="noConversion"/>
  </si>
  <si>
    <t>P14</t>
    <phoneticPr fontId="3" type="noConversion"/>
  </si>
  <si>
    <t>RNW0720S2Y</t>
  </si>
  <si>
    <t>RNW0830S2Y</t>
  </si>
  <si>
    <t>RNW1100S2Y</t>
  </si>
  <si>
    <t>RNW1450S2Y</t>
  </si>
  <si>
    <t>RPUW082X9E</t>
  </si>
  <si>
    <t>RPUW102X9E</t>
  </si>
  <si>
    <t>RPUW122X9E</t>
  </si>
  <si>
    <t>RPUW142X9E</t>
  </si>
  <si>
    <t>RPUW162X9E</t>
  </si>
  <si>
    <t>RPUW182X9E</t>
  </si>
  <si>
    <t>RPUW202X9E</t>
  </si>
  <si>
    <t>RPUW222X9E</t>
  </si>
  <si>
    <t>RPUW242X9E</t>
  </si>
  <si>
    <t>RP-W262X9E</t>
  </si>
  <si>
    <t>RP-W282X9E</t>
  </si>
  <si>
    <t>RP-W302X9E</t>
  </si>
  <si>
    <t>RP-W322X9E</t>
  </si>
  <si>
    <t>RP-W342X9E</t>
  </si>
  <si>
    <t>RP-W362X9E</t>
  </si>
  <si>
    <t>RP-W382X9E</t>
  </si>
  <si>
    <t>RP-W402X9E</t>
  </si>
  <si>
    <t>RP-W422X9E</t>
  </si>
  <si>
    <t>RP-W442X9E</t>
  </si>
  <si>
    <t>RP-W462X9E</t>
  </si>
  <si>
    <t>RP-W482X9E</t>
  </si>
  <si>
    <t>멀티V 5 슈프림 AI</t>
    <phoneticPr fontId="3" type="noConversion"/>
  </si>
  <si>
    <t>Z-E0250U2SC</t>
  </si>
  <si>
    <t>Z-E0250U2SC</t>
    <phoneticPr fontId="3" type="noConversion"/>
  </si>
  <si>
    <t>Z-E0350U2SC</t>
  </si>
  <si>
    <t>Z-E0350U2SC</t>
    <phoneticPr fontId="3" type="noConversion"/>
  </si>
  <si>
    <t>Z-E0500U2SC</t>
  </si>
  <si>
    <t>Z-E0500U2SC</t>
    <phoneticPr fontId="3" type="noConversion"/>
  </si>
  <si>
    <t>Z-E0800U2SC</t>
  </si>
  <si>
    <t>Z-E0800U2SC</t>
    <phoneticPr fontId="3" type="noConversion"/>
  </si>
  <si>
    <t>Z-E1000U2SC</t>
  </si>
  <si>
    <t>Z-E1000U2SC</t>
    <phoneticPr fontId="3" type="noConversion"/>
  </si>
  <si>
    <t>Z-E1500U2SC</t>
  </si>
  <si>
    <t>Z-E1500U2SC</t>
    <phoneticPr fontId="3" type="noConversion"/>
  </si>
  <si>
    <t>Z-E2000U2SC</t>
  </si>
  <si>
    <t>Z-E2000U2SC</t>
    <phoneticPr fontId="3" type="noConversion"/>
  </si>
  <si>
    <t>상업용</t>
    <phoneticPr fontId="3" type="noConversion"/>
  </si>
  <si>
    <t>RPUW082XDF</t>
  </si>
  <si>
    <t>RPUW102XDF</t>
  </si>
  <si>
    <t>RPUW122XDF</t>
  </si>
  <si>
    <t>RPUW142XDF</t>
  </si>
  <si>
    <t>RPUW162XDF</t>
  </si>
  <si>
    <t>RPUW182XDF</t>
  </si>
  <si>
    <t>RPUW202XDF</t>
  </si>
  <si>
    <t>RP-W222XDF</t>
  </si>
  <si>
    <t>RP-W242XDF</t>
  </si>
  <si>
    <t>RP-W262XDF</t>
  </si>
  <si>
    <t>RP-W282XDF</t>
  </si>
  <si>
    <t>RP-W302XDF</t>
  </si>
  <si>
    <t>RP-W322XDF</t>
  </si>
  <si>
    <t>RP-W342XDF</t>
  </si>
  <si>
    <t>RP-W362XDF</t>
  </si>
  <si>
    <t>RP-W382XDF</t>
  </si>
  <si>
    <t>RP-W402XDF</t>
  </si>
  <si>
    <t>RP-W422XDF</t>
  </si>
  <si>
    <t>RP-W442XDF</t>
  </si>
  <si>
    <t>RP-W462XDF</t>
  </si>
  <si>
    <t>RP-W482XDF</t>
  </si>
  <si>
    <t>멀티V I 냉난방 동시형</t>
  </si>
  <si>
    <t>멀티V I 냉난방 동시형</t>
    <phoneticPr fontId="3" type="noConversion"/>
  </si>
  <si>
    <t>RPUB142XDE</t>
  </si>
  <si>
    <t>RPUB142XDE</t>
    <phoneticPr fontId="3" type="noConversion"/>
  </si>
  <si>
    <t>멀티V S 냉난방 동시형</t>
  </si>
  <si>
    <t>1way UV Nano</t>
    <phoneticPr fontId="3" type="noConversion"/>
  </si>
  <si>
    <t>■ DOAS 냉난방 장비선정표</t>
    <phoneticPr fontId="3" type="noConversion"/>
  </si>
  <si>
    <t>창고</t>
    <phoneticPr fontId="3" type="noConversion"/>
  </si>
  <si>
    <t>DOAS</t>
    <phoneticPr fontId="3" type="noConversion"/>
  </si>
  <si>
    <t>RP-B461X9E</t>
  </si>
  <si>
    <t>동시형 실외기</t>
  </si>
  <si>
    <t>RPUB221X9E</t>
  </si>
  <si>
    <t>RPUB241X9E</t>
  </si>
  <si>
    <t>RP-B421X9E</t>
  </si>
  <si>
    <t>RP-B441X9E</t>
  </si>
  <si>
    <t>RP-B481X9E</t>
  </si>
  <si>
    <t>RP-B282XDE</t>
  </si>
  <si>
    <t>RP-B422XDE</t>
  </si>
  <si>
    <t>RPUM050S2S</t>
  </si>
  <si>
    <t>RPUM050S2S</t>
    <phoneticPr fontId="3" type="noConversion"/>
  </si>
  <si>
    <t>S5</t>
    <phoneticPr fontId="3" type="noConversion"/>
  </si>
  <si>
    <t>멀티V S 냉난방 동시형</t>
    <phoneticPr fontId="3" type="noConversion"/>
  </si>
  <si>
    <t>RPUW042S2S</t>
    <phoneticPr fontId="3" type="noConversion"/>
  </si>
  <si>
    <t>RPUW052S2S</t>
    <phoneticPr fontId="3" type="noConversion"/>
  </si>
  <si>
    <t>RPUW062S2S</t>
    <phoneticPr fontId="3" type="noConversion"/>
  </si>
  <si>
    <t>RPUW041S9S</t>
    <phoneticPr fontId="3" type="noConversion"/>
  </si>
  <si>
    <t>RPUW051S9S</t>
    <phoneticPr fontId="3" type="noConversion"/>
  </si>
  <si>
    <t>RPUW061S9S</t>
    <phoneticPr fontId="3" type="noConversion"/>
  </si>
  <si>
    <t>DOAS 실내순환</t>
    <phoneticPr fontId="3" type="noConversion"/>
  </si>
  <si>
    <t>DOAS 외기도입</t>
    <phoneticPr fontId="3" type="noConversion"/>
  </si>
  <si>
    <t>Z-H0151B2SR(L)</t>
  </si>
  <si>
    <t>Z-H0151B2SR(L)</t>
    <phoneticPr fontId="3" type="noConversion"/>
  </si>
  <si>
    <t>Z-H0201B2SR(L)</t>
  </si>
  <si>
    <t>Z-H0201B2SR(L)</t>
    <phoneticPr fontId="3" type="noConversion"/>
  </si>
  <si>
    <t>Z-H0251B2SR(L)</t>
  </si>
  <si>
    <t>Z-H0251B2SR(L)</t>
    <phoneticPr fontId="3" type="noConversion"/>
  </si>
  <si>
    <t>Z-H0301B2SR(L)</t>
  </si>
  <si>
    <t>Z-H0301B2SR(L)</t>
    <phoneticPr fontId="3" type="noConversion"/>
  </si>
  <si>
    <t>PW0833R2CR</t>
  </si>
  <si>
    <t>TW0601S2SR</t>
  </si>
  <si>
    <t>RPUW042S2S</t>
  </si>
  <si>
    <t>RPUW052S2S</t>
  </si>
  <si>
    <t>RPUW062S2S</t>
  </si>
  <si>
    <t>RPUW041S9S</t>
  </si>
  <si>
    <t>RPUW051S9S</t>
  </si>
  <si>
    <t>GHP+슈프림 i</t>
    <phoneticPr fontId="3" type="noConversion"/>
  </si>
  <si>
    <t>GHP+프리미엄 i</t>
    <phoneticPr fontId="3" type="noConversion"/>
  </si>
  <si>
    <t>GPHW241C1E1</t>
  </si>
  <si>
    <t>GPHW241C1E1</t>
    <phoneticPr fontId="3" type="noConversion"/>
  </si>
  <si>
    <t>GPHW261C1E2</t>
  </si>
  <si>
    <t>GPHW261C1E2</t>
    <phoneticPr fontId="3" type="noConversion"/>
  </si>
  <si>
    <t>GPHW281C1E3</t>
  </si>
  <si>
    <t>GPHW281C1E3</t>
    <phoneticPr fontId="3" type="noConversion"/>
  </si>
  <si>
    <t>GPHW301C2E2</t>
  </si>
  <si>
    <t>GPHW301C2E2</t>
    <phoneticPr fontId="3" type="noConversion"/>
  </si>
  <si>
    <t>GPHW321C2E3</t>
  </si>
  <si>
    <t>GPHW321C2E3</t>
    <phoneticPr fontId="3" type="noConversion"/>
  </si>
  <si>
    <t>GPHW351C3E2</t>
  </si>
  <si>
    <t>GPHW351C3E2</t>
    <phoneticPr fontId="3" type="noConversion"/>
  </si>
  <si>
    <t>GPHW371C3E3</t>
  </si>
  <si>
    <t>GPHW371C3E3</t>
    <phoneticPr fontId="3" type="noConversion"/>
  </si>
  <si>
    <t>GPHW441C4E5</t>
  </si>
  <si>
    <t>GPHW441C4E5</t>
    <phoneticPr fontId="3" type="noConversion"/>
  </si>
  <si>
    <t>GPHW461C5E5</t>
  </si>
  <si>
    <t>GPHW461C5E5</t>
    <phoneticPr fontId="3" type="noConversion"/>
  </si>
  <si>
    <t>GPHW461C4E6</t>
  </si>
  <si>
    <t>GPHW461C4E6</t>
    <phoneticPr fontId="3" type="noConversion"/>
  </si>
  <si>
    <t>GPHW481C6E5</t>
  </si>
  <si>
    <t>GPHW481C6E5</t>
    <phoneticPr fontId="3" type="noConversion"/>
  </si>
  <si>
    <t>GPHW481C5E6</t>
  </si>
  <si>
    <t>GPHW481C5E6</t>
    <phoneticPr fontId="3" type="noConversion"/>
  </si>
  <si>
    <t>GPHW481C4E7</t>
  </si>
  <si>
    <t>GPHW481C4E7</t>
    <phoneticPr fontId="3" type="noConversion"/>
  </si>
  <si>
    <t>GPHW501C6E6</t>
  </si>
  <si>
    <t>GPHW501C6E6</t>
    <phoneticPr fontId="3" type="noConversion"/>
  </si>
  <si>
    <t>GPHW501C5E7</t>
  </si>
  <si>
    <t>GPHW501C5E7</t>
    <phoneticPr fontId="3" type="noConversion"/>
  </si>
  <si>
    <t>GPHW521C6E7</t>
  </si>
  <si>
    <t>GPHW521C6E7</t>
    <phoneticPr fontId="3" type="noConversion"/>
  </si>
  <si>
    <t xml:space="preserve">GPHW241C1V1 </t>
    <phoneticPr fontId="3" type="noConversion"/>
  </si>
  <si>
    <t>GPHW261C1V2</t>
    <phoneticPr fontId="3" type="noConversion"/>
  </si>
  <si>
    <t>GPHW281C1V3</t>
    <phoneticPr fontId="3" type="noConversion"/>
  </si>
  <si>
    <t>GPHW301C2V2</t>
    <phoneticPr fontId="3" type="noConversion"/>
  </si>
  <si>
    <t>GPHW321C2V3</t>
    <phoneticPr fontId="3" type="noConversion"/>
  </si>
  <si>
    <t>GPHW351C3V2</t>
    <phoneticPr fontId="3" type="noConversion"/>
  </si>
  <si>
    <t>GPHW371C3V3</t>
    <phoneticPr fontId="3" type="noConversion"/>
  </si>
  <si>
    <t>GPHW441C4V5</t>
    <phoneticPr fontId="3" type="noConversion"/>
  </si>
  <si>
    <t>GPHW461C5V5</t>
    <phoneticPr fontId="3" type="noConversion"/>
  </si>
  <si>
    <t>GPHW461C4V6</t>
    <phoneticPr fontId="3" type="noConversion"/>
  </si>
  <si>
    <t>GPHW481C6V5</t>
    <phoneticPr fontId="3" type="noConversion"/>
  </si>
  <si>
    <t>GPHW481C5V6</t>
    <phoneticPr fontId="3" type="noConversion"/>
  </si>
  <si>
    <t>GPHW481C4V7</t>
    <phoneticPr fontId="3" type="noConversion"/>
  </si>
  <si>
    <t>GPHW501C6V6</t>
    <phoneticPr fontId="3" type="noConversion"/>
  </si>
  <si>
    <t>GPHW501C5V7</t>
    <phoneticPr fontId="3" type="noConversion"/>
  </si>
  <si>
    <t>GPHW521C6V7</t>
    <phoneticPr fontId="3" type="noConversion"/>
  </si>
  <si>
    <t>프리미엄</t>
    <phoneticPr fontId="3" type="noConversion"/>
  </si>
  <si>
    <t>PW1101T2SR</t>
  </si>
  <si>
    <t>PW1301T2SR</t>
  </si>
  <si>
    <t>PW1301T9SR</t>
  </si>
  <si>
    <t>PW0603R2C</t>
  </si>
  <si>
    <t>PW1103T9CR</t>
  </si>
  <si>
    <t>PW1453T9CR</t>
  </si>
  <si>
    <t>일반형 (냉전)</t>
    <phoneticPr fontId="3" type="noConversion"/>
  </si>
  <si>
    <t>PQ0900T2SF</t>
  </si>
  <si>
    <t>PQ1100T2FR</t>
  </si>
  <si>
    <t>PQ1450T2FR</t>
  </si>
  <si>
    <t>Q23K</t>
    <phoneticPr fontId="3" type="noConversion"/>
  </si>
  <si>
    <t>ARND153DCR6 (실)</t>
  </si>
  <si>
    <t>ARND153DCR6 (실)</t>
    <phoneticPr fontId="3" type="noConversion"/>
  </si>
  <si>
    <t>ARND203DCR6 (실)</t>
  </si>
  <si>
    <t>ARND153DCR6 (외)</t>
  </si>
  <si>
    <t>ARND153DCR6 (외)</t>
    <phoneticPr fontId="3" type="noConversion"/>
  </si>
  <si>
    <t>ARND203DCR6 (실)</t>
    <phoneticPr fontId="3" type="noConversion"/>
  </si>
  <si>
    <t>ARND203DCR6 (외)</t>
  </si>
  <si>
    <t>ARND203DCR6 (외)</t>
    <phoneticPr fontId="3" type="noConversion"/>
  </si>
  <si>
    <t>TW0721A2HR</t>
    <phoneticPr fontId="3" type="noConversion"/>
  </si>
  <si>
    <t>TW0901A2HR</t>
    <phoneticPr fontId="3" type="noConversion"/>
  </si>
  <si>
    <t>TW1001A2HR</t>
    <phoneticPr fontId="3" type="noConversion"/>
  </si>
  <si>
    <t>TW1101A2HR</t>
    <phoneticPr fontId="3" type="noConversion"/>
  </si>
  <si>
    <t>TW1301A2HR</t>
    <phoneticPr fontId="3" type="noConversion"/>
  </si>
  <si>
    <t>TW1001A9HR</t>
    <phoneticPr fontId="3" type="noConversion"/>
  </si>
  <si>
    <t>TW1101A9HR</t>
    <phoneticPr fontId="3" type="noConversion"/>
  </si>
  <si>
    <t>TW1301A9HR</t>
    <phoneticPr fontId="3" type="noConversion"/>
  </si>
  <si>
    <t>TW1451A9HR</t>
    <phoneticPr fontId="3" type="noConversion"/>
  </si>
  <si>
    <t>TQ0600B2SD</t>
    <phoneticPr fontId="3" type="noConversion"/>
  </si>
  <si>
    <t>TQ0720B2SD</t>
    <phoneticPr fontId="3" type="noConversion"/>
  </si>
  <si>
    <t>TQ0900A2SD</t>
    <phoneticPr fontId="3" type="noConversion"/>
  </si>
  <si>
    <t>TQ1100A2DR</t>
    <phoneticPr fontId="3" type="noConversion"/>
  </si>
  <si>
    <t>TQ1450A2DR</t>
    <phoneticPr fontId="3" type="noConversion"/>
  </si>
  <si>
    <t>P14</t>
  </si>
  <si>
    <t>TQ0600B2SD</t>
  </si>
  <si>
    <t>TQ0720B2SD</t>
  </si>
  <si>
    <t>TQ0900A2SD</t>
  </si>
  <si>
    <t>TQ1100A2DR</t>
  </si>
  <si>
    <t>TQ1450A2DR</t>
  </si>
  <si>
    <t>MultiV 5 공장형</t>
    <phoneticPr fontId="3" type="noConversion"/>
  </si>
  <si>
    <t>AI 엔진 X</t>
    <phoneticPr fontId="3" type="noConversion"/>
  </si>
  <si>
    <t>AI 엔진 O</t>
    <phoneticPr fontId="3" type="noConversion"/>
  </si>
  <si>
    <t>Water5 실외기(인증)</t>
    <phoneticPr fontId="3" type="noConversion"/>
  </si>
  <si>
    <t>Water5 실내기(인증)</t>
    <phoneticPr fontId="3" type="noConversion"/>
  </si>
  <si>
    <t>Water5</t>
    <phoneticPr fontId="3" type="noConversion"/>
  </si>
  <si>
    <t>RGUW081C9C</t>
  </si>
  <si>
    <t>RGUW081C9C</t>
    <phoneticPr fontId="3" type="noConversion"/>
  </si>
  <si>
    <t>RGUW101C9C</t>
  </si>
  <si>
    <t>RGUW101C9C</t>
    <phoneticPr fontId="3" type="noConversion"/>
  </si>
  <si>
    <t>RGUW121C9C</t>
  </si>
  <si>
    <t>RGUW121C9C</t>
    <phoneticPr fontId="3" type="noConversion"/>
  </si>
  <si>
    <t>RGUW201C9C</t>
  </si>
  <si>
    <t>RGUW201C9C</t>
    <phoneticPr fontId="3" type="noConversion"/>
  </si>
  <si>
    <t>난방(w)</t>
    <phoneticPr fontId="3" type="noConversion"/>
  </si>
  <si>
    <t>난방(w)</t>
    <phoneticPr fontId="3" type="noConversion"/>
  </si>
  <si>
    <t>Water4</t>
    <phoneticPr fontId="3" type="noConversion"/>
  </si>
  <si>
    <t>water5</t>
    <phoneticPr fontId="3" type="noConversion"/>
  </si>
  <si>
    <t>water4</t>
    <phoneticPr fontId="3" type="noConversion"/>
  </si>
  <si>
    <t>Multi V Water 5 실외기</t>
    <phoneticPr fontId="3" type="noConversion"/>
  </si>
  <si>
    <t>RG-W161C9C</t>
    <phoneticPr fontId="3" type="noConversion"/>
  </si>
  <si>
    <t>RG-W181C9C</t>
    <phoneticPr fontId="3" type="noConversion"/>
  </si>
  <si>
    <t>RG-W221C9C</t>
    <phoneticPr fontId="3" type="noConversion"/>
  </si>
  <si>
    <t>RG-W241C9C</t>
    <phoneticPr fontId="3" type="noConversion"/>
  </si>
  <si>
    <t>RG-W261C9C</t>
    <phoneticPr fontId="3" type="noConversion"/>
  </si>
  <si>
    <t>RG-W281C9C</t>
    <phoneticPr fontId="3" type="noConversion"/>
  </si>
  <si>
    <t>RG-W301C9C</t>
    <phoneticPr fontId="3" type="noConversion"/>
  </si>
  <si>
    <t>RG-W321C9C</t>
    <phoneticPr fontId="3" type="noConversion"/>
  </si>
  <si>
    <t>RG-W341C9C</t>
    <phoneticPr fontId="3" type="noConversion"/>
  </si>
  <si>
    <t>RG-W361C9C</t>
    <phoneticPr fontId="3" type="noConversion"/>
  </si>
  <si>
    <t>RG-W381C9C</t>
    <phoneticPr fontId="3" type="noConversion"/>
  </si>
  <si>
    <t>RG-W401C9C</t>
    <phoneticPr fontId="3" type="noConversion"/>
  </si>
  <si>
    <t>RG-W421C9C</t>
    <phoneticPr fontId="3" type="noConversion"/>
  </si>
  <si>
    <t>RG-W441C9C</t>
    <phoneticPr fontId="3" type="noConversion"/>
  </si>
  <si>
    <t>RG-W481C9C</t>
    <phoneticPr fontId="3" type="noConversion"/>
  </si>
  <si>
    <t>RG-W501C9C</t>
    <phoneticPr fontId="3" type="noConversion"/>
  </si>
  <si>
    <t>RG-W521C9C</t>
    <phoneticPr fontId="3" type="noConversion"/>
  </si>
  <si>
    <t>RG-W601C9C</t>
    <phoneticPr fontId="3" type="noConversion"/>
  </si>
  <si>
    <t>TW0230U2S</t>
  </si>
  <si>
    <t>Z-E0100R(L)2AR</t>
  </si>
  <si>
    <t>Z-E0100R(L)2AR</t>
    <phoneticPr fontId="3" type="noConversion"/>
  </si>
  <si>
    <t>Z-E0150R(L)2AR</t>
  </si>
  <si>
    <t>Z-E0200R(L)2AR</t>
  </si>
  <si>
    <t>Z-E0250R(L)2AR</t>
  </si>
  <si>
    <t>프리미엄PLUS</t>
    <phoneticPr fontId="3" type="noConversion"/>
  </si>
  <si>
    <t>TW0600B2HL</t>
  </si>
  <si>
    <t>TW0600B2HL</t>
    <phoneticPr fontId="3" type="noConversion"/>
  </si>
  <si>
    <t>TW0720B2HL</t>
  </si>
  <si>
    <t>TW0720B2HL</t>
    <phoneticPr fontId="3" type="noConversion"/>
  </si>
  <si>
    <t>TW0900A2HL</t>
  </si>
  <si>
    <t>TW0900A2HL</t>
    <phoneticPr fontId="3" type="noConversion"/>
  </si>
  <si>
    <t>TW1000A2HL</t>
  </si>
  <si>
    <t>TW1000A2HL</t>
    <phoneticPr fontId="3" type="noConversion"/>
  </si>
  <si>
    <t>TW1100A2HL</t>
  </si>
  <si>
    <t>TW1300A2HL</t>
  </si>
  <si>
    <t>TW1300A2HL</t>
    <phoneticPr fontId="3" type="noConversion"/>
  </si>
  <si>
    <t>TW1000A9HL</t>
  </si>
  <si>
    <t>TW1000A9HL</t>
    <phoneticPr fontId="3" type="noConversion"/>
  </si>
  <si>
    <t>TW1100A9HL</t>
  </si>
  <si>
    <t>TW1100A9HL</t>
    <phoneticPr fontId="3" type="noConversion"/>
  </si>
  <si>
    <t>TW1300A9HL</t>
  </si>
  <si>
    <t>TW1300A9HL</t>
    <phoneticPr fontId="3" type="noConversion"/>
  </si>
  <si>
    <t>TW1450A9HL</t>
  </si>
  <si>
    <t>TW1450A9HL</t>
    <phoneticPr fontId="3" type="noConversion"/>
  </si>
  <si>
    <t>PW0520R2SL</t>
  </si>
  <si>
    <t>PW0520R2SL</t>
    <phoneticPr fontId="3" type="noConversion"/>
  </si>
  <si>
    <t>PW0600R2SL</t>
  </si>
  <si>
    <t>PW0600R2SL</t>
    <phoneticPr fontId="3" type="noConversion"/>
  </si>
  <si>
    <t>PW0720R2SL</t>
  </si>
  <si>
    <t>PW0830R2SL</t>
  </si>
  <si>
    <t>PW0720R2SL</t>
    <phoneticPr fontId="3" type="noConversion"/>
  </si>
  <si>
    <t>PW0830R2SL</t>
    <phoneticPr fontId="3" type="noConversion"/>
  </si>
  <si>
    <t>PW1100T2SL</t>
  </si>
  <si>
    <t>PW1100T2SL</t>
    <phoneticPr fontId="3" type="noConversion"/>
  </si>
  <si>
    <t>PW1100T9SL</t>
  </si>
  <si>
    <t>PW1100T9SL</t>
    <phoneticPr fontId="3" type="noConversion"/>
  </si>
  <si>
    <t>PW1300T2SL</t>
  </si>
  <si>
    <t>PW1300T2SL</t>
    <phoneticPr fontId="3" type="noConversion"/>
  </si>
  <si>
    <t>PW1300T9SL</t>
  </si>
  <si>
    <t>PW1300T9SL</t>
    <phoneticPr fontId="3" type="noConversion"/>
  </si>
  <si>
    <t>PW1450T9SL</t>
  </si>
  <si>
    <t>PW1450T9SL</t>
    <phoneticPr fontId="3" type="noConversion"/>
  </si>
  <si>
    <t>PW2300F9SF</t>
    <phoneticPr fontId="3" type="noConversion"/>
  </si>
  <si>
    <t>PW2900F9SF</t>
    <phoneticPr fontId="3" type="noConversion"/>
  </si>
  <si>
    <t>SW07EK1WES</t>
    <phoneticPr fontId="3" type="noConversion"/>
  </si>
  <si>
    <t>SW07FK1WAS</t>
    <phoneticPr fontId="3" type="noConversion"/>
  </si>
  <si>
    <t>SW09FK1WAS</t>
    <phoneticPr fontId="3" type="noConversion"/>
  </si>
  <si>
    <t>SW11EK1WAS</t>
    <phoneticPr fontId="3" type="noConversion"/>
  </si>
  <si>
    <t>SW13EK1WAS</t>
    <phoneticPr fontId="3" type="noConversion"/>
  </si>
  <si>
    <t>SW16EK1WAS</t>
    <phoneticPr fontId="3" type="noConversion"/>
  </si>
  <si>
    <t>SQ06FJ1WFS</t>
    <phoneticPr fontId="3" type="noConversion"/>
  </si>
  <si>
    <t>SQ07EJ3WES</t>
    <phoneticPr fontId="3" type="noConversion"/>
  </si>
  <si>
    <t>SQ09EK1WES</t>
    <phoneticPr fontId="3" type="noConversion"/>
  </si>
  <si>
    <t>SQ11EK1WES</t>
    <phoneticPr fontId="3" type="noConversion"/>
  </si>
  <si>
    <t>SQ13EK1WAS</t>
    <phoneticPr fontId="3" type="noConversion"/>
  </si>
  <si>
    <t>SQ16EK1WAS</t>
    <phoneticPr fontId="3" type="noConversion"/>
  </si>
  <si>
    <t>Z-E0150R(L)2AR</t>
    <phoneticPr fontId="3" type="noConversion"/>
  </si>
  <si>
    <t>Z-E0200R(L)2AR</t>
    <phoneticPr fontId="3" type="noConversion"/>
  </si>
  <si>
    <t>Z-E0250R(L)2AR</t>
    <phoneticPr fontId="3" type="noConversion"/>
  </si>
  <si>
    <t>대공간덕트</t>
    <phoneticPr fontId="3" type="noConversion"/>
  </si>
  <si>
    <t>RNW2640Y9S</t>
    <phoneticPr fontId="3" type="noConversion"/>
  </si>
  <si>
    <t>RNW3460Y9S</t>
    <phoneticPr fontId="3" type="noConversion"/>
  </si>
  <si>
    <t>RNW5210Y9S</t>
    <phoneticPr fontId="3" type="noConversion"/>
  </si>
  <si>
    <t>RNW7030Y9S</t>
    <phoneticPr fontId="3" type="noConversion"/>
  </si>
  <si>
    <t>RNW2640YDS</t>
    <phoneticPr fontId="3" type="noConversion"/>
  </si>
  <si>
    <t>RNW3460YDS</t>
    <phoneticPr fontId="3" type="noConversion"/>
  </si>
  <si>
    <t>RNW5210YDS</t>
    <phoneticPr fontId="3" type="noConversion"/>
  </si>
  <si>
    <t>RNW7030YDS</t>
    <phoneticPr fontId="3" type="noConversion"/>
  </si>
  <si>
    <t>RNW0520M2S</t>
  </si>
  <si>
    <t>RNQ0120K2WP</t>
  </si>
  <si>
    <t>RNQ0160K2WP</t>
  </si>
  <si>
    <t>RNQ0200K2WP</t>
  </si>
  <si>
    <t>RNQ0200C2WP</t>
  </si>
  <si>
    <t>RNQ0230C2WP</t>
  </si>
  <si>
    <t>RNQ0320C2WP</t>
  </si>
  <si>
    <t>RNQ0400C2WP</t>
  </si>
  <si>
    <t>RNQ0520C2WP</t>
  </si>
  <si>
    <t>RNQ0600C2WP</t>
  </si>
  <si>
    <t>RNQ0720C2WP</t>
  </si>
  <si>
    <t>RNQ0121K2UP</t>
  </si>
  <si>
    <t>RNQ0161K2UP</t>
  </si>
  <si>
    <t>RNQ0201K2UP</t>
  </si>
  <si>
    <t>RNQ0231K2UP</t>
  </si>
  <si>
    <t>RNQ0201C2UP</t>
  </si>
  <si>
    <t>RNQ0231C2UP</t>
  </si>
  <si>
    <t>RNQ0321C2UP</t>
  </si>
  <si>
    <t>RNQ0401C2UP</t>
  </si>
  <si>
    <t>RNQ0521C2UP</t>
  </si>
  <si>
    <t>RNQ0601C2UP</t>
  </si>
  <si>
    <t>RNQ0721C2UP</t>
  </si>
  <si>
    <t>PW052PT2SR</t>
  </si>
  <si>
    <t>PW060PT2SR</t>
  </si>
  <si>
    <t>PW072PT2SR</t>
  </si>
  <si>
    <t>PW083PT2SR</t>
  </si>
  <si>
    <t>냉전 (스마트)</t>
    <phoneticPr fontId="3" type="noConversion"/>
  </si>
  <si>
    <t>TW0230U2SC</t>
  </si>
  <si>
    <t>TW0720Y2SR</t>
  </si>
  <si>
    <t>TW0900Y2SR</t>
  </si>
  <si>
    <t>TW1100Y2SR</t>
  </si>
  <si>
    <t>TW1101Y9SR</t>
  </si>
  <si>
    <t>TW1451Y9SR</t>
  </si>
  <si>
    <t>TW0721Y2BR</t>
  </si>
  <si>
    <t>TW0901Y2BR</t>
  </si>
  <si>
    <t>TW1101Y2BR</t>
  </si>
  <si>
    <t>TW1101Y9BR</t>
  </si>
  <si>
    <t>TW1451Y9BR</t>
  </si>
  <si>
    <t>RG-W181C9C</t>
  </si>
  <si>
    <t>RG-W161C9C</t>
  </si>
  <si>
    <t>RG-W221C9C</t>
  </si>
  <si>
    <t>RG-W241C9C</t>
  </si>
  <si>
    <t>RG-W261C9C</t>
  </si>
  <si>
    <t>RG-W281C9C</t>
  </si>
  <si>
    <t>RG-W301C9C</t>
  </si>
  <si>
    <t>RG-W321C9C</t>
  </si>
  <si>
    <t>RG-W341C9C</t>
  </si>
  <si>
    <t>RG-W361C9C</t>
  </si>
  <si>
    <t>RG-W381C9C</t>
  </si>
  <si>
    <t>RG-W401C9C</t>
  </si>
  <si>
    <t>RG-W421C9C</t>
  </si>
  <si>
    <t>RG-W441C9C</t>
  </si>
  <si>
    <t>RG-W481C9C</t>
  </si>
  <si>
    <t>MNQ0720C2W</t>
  </si>
  <si>
    <t>MNQ0200K2W</t>
  </si>
  <si>
    <t>MNQ0200C2W</t>
  </si>
  <si>
    <t>MNQ0120K2W</t>
  </si>
  <si>
    <t>MNQ0160K2W</t>
  </si>
  <si>
    <t>MNQ0230C2W</t>
  </si>
  <si>
    <t>MNQ0320C2W</t>
  </si>
  <si>
    <t>MNQ0400C2W</t>
  </si>
  <si>
    <t>MNQ0520C2W</t>
  </si>
  <si>
    <t>MNQ0600C2W</t>
  </si>
  <si>
    <t>RNW0401A2U</t>
  </si>
  <si>
    <t>RNW0521A2U</t>
  </si>
  <si>
    <t>RNW0601A2U</t>
  </si>
  <si>
    <t>RNW0721A2U</t>
  </si>
  <si>
    <t>RNW0831A2U</t>
  </si>
  <si>
    <t>RNW1001A2U</t>
  </si>
  <si>
    <t>RNW1101A2U</t>
  </si>
  <si>
    <t>RNW1301A2U</t>
  </si>
  <si>
    <t>RNW1451A2U</t>
  </si>
  <si>
    <t>BW1100M9SR</t>
  </si>
  <si>
    <t>BW1450M9SR</t>
  </si>
  <si>
    <t>123D</t>
    <phoneticPr fontId="3" type="noConversion"/>
  </si>
  <si>
    <t>203D</t>
    <phoneticPr fontId="3" type="noConversion"/>
  </si>
  <si>
    <t>153D</t>
    <phoneticPr fontId="3" type="noConversion"/>
  </si>
  <si>
    <t>All in 1 실내기 (스마트)</t>
    <phoneticPr fontId="3" type="noConversion"/>
  </si>
  <si>
    <t>All in 1 실외기 (스마트)</t>
    <phoneticPr fontId="3" type="noConversion"/>
  </si>
  <si>
    <t>MNV0200C2W</t>
    <phoneticPr fontId="3" type="noConversion"/>
  </si>
  <si>
    <t>MNV0230C2W</t>
    <phoneticPr fontId="3" type="noConversion"/>
  </si>
  <si>
    <t>MNV0320C2W</t>
    <phoneticPr fontId="3" type="noConversion"/>
  </si>
  <si>
    <t>MNV0400C2W</t>
    <phoneticPr fontId="3" type="noConversion"/>
  </si>
  <si>
    <t>MNV0520C2W</t>
    <phoneticPr fontId="3" type="noConversion"/>
  </si>
  <si>
    <t>MNV0600C2W</t>
    <phoneticPr fontId="3" type="noConversion"/>
  </si>
  <si>
    <t>MNV0720C2W</t>
    <phoneticPr fontId="3" type="noConversion"/>
  </si>
  <si>
    <t>MNV0121K2U</t>
    <phoneticPr fontId="3" type="noConversion"/>
  </si>
  <si>
    <t>MNV0161K2U</t>
    <phoneticPr fontId="3" type="noConversion"/>
  </si>
  <si>
    <t>MNV0201K2U</t>
    <phoneticPr fontId="3" type="noConversion"/>
  </si>
  <si>
    <t>MNV0231K2U</t>
    <phoneticPr fontId="3" type="noConversion"/>
  </si>
  <si>
    <t>MNV0201C2U</t>
    <phoneticPr fontId="3" type="noConversion"/>
  </si>
  <si>
    <t>MNV0231C2U</t>
    <phoneticPr fontId="3" type="noConversion"/>
  </si>
  <si>
    <t>MNV0321C2U</t>
    <phoneticPr fontId="3" type="noConversion"/>
  </si>
  <si>
    <t>MNV0401C2U</t>
    <phoneticPr fontId="3" type="noConversion"/>
  </si>
  <si>
    <t>MNV0521C2U</t>
    <phoneticPr fontId="3" type="noConversion"/>
  </si>
  <si>
    <t>MNV0601C2U</t>
    <phoneticPr fontId="3" type="noConversion"/>
  </si>
  <si>
    <t>MNV0721C2U</t>
    <phoneticPr fontId="3" type="noConversion"/>
  </si>
  <si>
    <t>MNV0230R2S</t>
    <phoneticPr fontId="3" type="noConversion"/>
  </si>
  <si>
    <t>MNV0320R2S</t>
    <phoneticPr fontId="3" type="noConversion"/>
  </si>
  <si>
    <t>MNV0400R2S</t>
    <phoneticPr fontId="3" type="noConversion"/>
  </si>
  <si>
    <t>MNV0520R2S</t>
    <phoneticPr fontId="3" type="noConversion"/>
  </si>
  <si>
    <t>HP</t>
    <phoneticPr fontId="3" type="noConversion"/>
  </si>
  <si>
    <t>HP계</t>
    <phoneticPr fontId="3" type="noConversion"/>
  </si>
  <si>
    <t>계</t>
    <phoneticPr fontId="3" type="noConversion"/>
  </si>
  <si>
    <t>RNW1230X2SS (실)</t>
    <phoneticPr fontId="3" type="noConversion"/>
  </si>
  <si>
    <t>RNW1230X2SS (외)</t>
    <phoneticPr fontId="3" type="noConversion"/>
  </si>
  <si>
    <t>RPUQ0255A2A</t>
    <phoneticPr fontId="3" type="noConversion"/>
  </si>
  <si>
    <t>RPUQ0255A2R</t>
  </si>
  <si>
    <t>RPUQ0255A2R</t>
    <phoneticPr fontId="3" type="noConversion"/>
  </si>
  <si>
    <t>RPUQ0305A2A</t>
    <phoneticPr fontId="3" type="noConversion"/>
  </si>
  <si>
    <t>RPUQ0305A2R</t>
  </si>
  <si>
    <t>RPUQ0305A2R</t>
    <phoneticPr fontId="3" type="noConversion"/>
  </si>
  <si>
    <t>RPUQ0405B2A</t>
    <phoneticPr fontId="3" type="noConversion"/>
  </si>
  <si>
    <t>RPUQ0405B2R</t>
  </si>
  <si>
    <t>RPUQ0405B2R</t>
    <phoneticPr fontId="3" type="noConversion"/>
  </si>
  <si>
    <t>RPUQ0506S2A</t>
    <phoneticPr fontId="3" type="noConversion"/>
  </si>
  <si>
    <t>RPUQ0506S2R</t>
  </si>
  <si>
    <t>RPUQ0506S2R</t>
    <phoneticPr fontId="3" type="noConversion"/>
  </si>
  <si>
    <t>RPUQ0606S2A</t>
    <phoneticPr fontId="3" type="noConversion"/>
  </si>
  <si>
    <t>RPUQ0606S2R</t>
  </si>
  <si>
    <t>RPUQ0606S2R</t>
    <phoneticPr fontId="3" type="noConversion"/>
  </si>
  <si>
    <t>MUV0721A23A</t>
  </si>
  <si>
    <t>MUV0721A23A</t>
    <phoneticPr fontId="3" type="noConversion"/>
  </si>
  <si>
    <t>MUV0901A24A</t>
  </si>
  <si>
    <t>MUV0901A24A</t>
    <phoneticPr fontId="3" type="noConversion"/>
  </si>
  <si>
    <t>MUV1101B25A</t>
  </si>
  <si>
    <t>MUV1101B25A</t>
    <phoneticPr fontId="3" type="noConversion"/>
  </si>
  <si>
    <t>MUV1451S25A</t>
  </si>
  <si>
    <t>MUV1451S25A</t>
    <phoneticPr fontId="3" type="noConversion"/>
  </si>
  <si>
    <t>PW1450U9HR</t>
    <phoneticPr fontId="3" type="noConversion"/>
  </si>
  <si>
    <t>PW1100U2HR</t>
    <phoneticPr fontId="3" type="noConversion"/>
  </si>
  <si>
    <t>PW1300U2HR</t>
    <phoneticPr fontId="3" type="noConversion"/>
  </si>
  <si>
    <t>PW1100U9HR</t>
    <phoneticPr fontId="3" type="noConversion"/>
  </si>
  <si>
    <t>PW1300U9HR</t>
    <phoneticPr fontId="3" type="noConversion"/>
  </si>
  <si>
    <t>RNW0201C2S</t>
    <phoneticPr fontId="3" type="noConversion"/>
  </si>
  <si>
    <t>RNW0231C2S</t>
    <phoneticPr fontId="3" type="noConversion"/>
  </si>
  <si>
    <t>RNW0321C2S</t>
    <phoneticPr fontId="3" type="noConversion"/>
  </si>
  <si>
    <t>RNW0401C2S</t>
    <phoneticPr fontId="3" type="noConversion"/>
  </si>
  <si>
    <t>RNW0521C2S</t>
    <phoneticPr fontId="3" type="noConversion"/>
  </si>
  <si>
    <t>RNW0601C2S</t>
    <phoneticPr fontId="3" type="noConversion"/>
  </si>
  <si>
    <t>RNW0721C2S</t>
    <phoneticPr fontId="3" type="noConversion"/>
  </si>
  <si>
    <t>프리미엄 라이트</t>
    <phoneticPr fontId="3" type="noConversion"/>
  </si>
  <si>
    <t>RPUW082X9T</t>
  </si>
  <si>
    <t>RPUW102X9T</t>
  </si>
  <si>
    <t>RPUW122X9T</t>
  </si>
  <si>
    <t>RPUW142X9T</t>
  </si>
  <si>
    <t>RPUW162X9T</t>
  </si>
  <si>
    <t>RPUW182X9T</t>
  </si>
  <si>
    <t>RPUW202X9T</t>
  </si>
  <si>
    <t>RP-W222X9T</t>
  </si>
  <si>
    <t>RP-W242X9T</t>
  </si>
  <si>
    <t>RP-W262X9T</t>
  </si>
  <si>
    <t>RP-W282X9T</t>
  </si>
  <si>
    <t>RP-W302X9T</t>
  </si>
  <si>
    <t>RP-W322X9T</t>
  </si>
  <si>
    <t>RP-W342X9T</t>
  </si>
  <si>
    <t>RP-W362X9T</t>
  </si>
  <si>
    <t>RP-W382X9T</t>
  </si>
  <si>
    <t>RP-W402X9T</t>
  </si>
  <si>
    <t>RP-W422X9T</t>
  </si>
  <si>
    <t>RP-W442X9T</t>
  </si>
  <si>
    <t>RP-W462X9T</t>
  </si>
  <si>
    <t>RP-W482X9T</t>
  </si>
  <si>
    <t>Z-E0150U2SH</t>
  </si>
  <si>
    <t>Z-E0150U2SH</t>
    <phoneticPr fontId="3" type="noConversion"/>
  </si>
  <si>
    <t>Z-E0250U2SH</t>
  </si>
  <si>
    <t>Z-E0250U2SH</t>
    <phoneticPr fontId="3" type="noConversion"/>
  </si>
  <si>
    <t>Z-E0350U2SH</t>
  </si>
  <si>
    <t>Z-E0500U2SH</t>
  </si>
  <si>
    <t>Z-E0800U2SH</t>
  </si>
  <si>
    <t>Z-E0350U2SH</t>
    <phoneticPr fontId="3" type="noConversion"/>
  </si>
  <si>
    <t>Z-E0500U2SH</t>
    <phoneticPr fontId="3" type="noConversion"/>
  </si>
  <si>
    <t>Z-E0800U2SH</t>
    <phoneticPr fontId="3" type="noConversion"/>
  </si>
  <si>
    <t>RNW1230X2SS (실)</t>
  </si>
  <si>
    <t>RNW1230X2SS (외)</t>
  </si>
  <si>
    <t>RNW0201C2S</t>
  </si>
  <si>
    <t>RNW0231C2S</t>
  </si>
  <si>
    <t>RNW0321C2S</t>
  </si>
  <si>
    <t>RNW0401C2S</t>
  </si>
  <si>
    <t>RNW0521C2S</t>
  </si>
  <si>
    <t>RNW0601C2S</t>
  </si>
  <si>
    <t>RNW0721C2S</t>
  </si>
  <si>
    <t>RGUW240C9C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</si>
</sst>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176" formatCode="#,##0_);[Red]\(#,##0\)"/>
    <numFmt numFmtId="177" formatCode="_-* #,##0.0_-;\-* #,##0.0_-;_-* &quot;-&quot;_-;_-@_-"/>
    <numFmt numFmtId="178" formatCode="_-* #,##0.00_-;\-* #,##0.00_-;_-* &quot;-&quot;_-;_-@_-"/>
    <numFmt numFmtId="179" formatCode="_ * #,##0_ ;_ * \-#,##0_ ;_ * &quot;-&quot;_ ;_ @_ "/>
    <numFmt numFmtId="180" formatCode="_ * #,##0.00_ ;_ * \-#,##0.00_ ;_ * &quot;-&quot;??_ ;_ @_ "/>
    <numFmt numFmtId="181" formatCode="_(&quot;$&quot;* #,##0_);_(&quot;$&quot;* \(#,##0\);_(&quot;$&quot;* &quot;-&quot;_);_(@_)"/>
    <numFmt numFmtId="182" formatCode="_(&quot;$&quot;* #,##0.00_);_(&quot;$&quot;* \(#,##0.00\);_(&quot;$&quot;* &quot;-&quot;??_);_(@_)"/>
    <numFmt numFmtId="183" formatCode="#,##0_ "/>
    <numFmt numFmtId="184" formatCode="0.0%"/>
    <numFmt numFmtId="185" formatCode="#,##0.0_);[Red]\(#,##0.0\)"/>
  </numFmts>
  <fonts count="33">
    <font>
      <sz val="11"/>
      <name val="돋움"/>
      <family val="3"/>
      <charset val="129"/>
    </font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name val="바탕체"/>
      <family val="1"/>
      <charset val="129"/>
    </font>
    <font>
      <sz val="12"/>
      <name val="굴림체"/>
      <family val="3"/>
      <charset val="129"/>
    </font>
    <font>
      <sz val="10"/>
      <name val="Arial"/>
      <family val="2"/>
    </font>
    <font>
      <sz val="8"/>
      <name val="Courier New"/>
      <family val="3"/>
      <charset val="204"/>
    </font>
    <font>
      <b/>
      <sz val="12"/>
      <name val="Arial"/>
      <family val="2"/>
    </font>
    <font>
      <sz val="10"/>
      <name val="Times New Roman"/>
      <family val="1"/>
    </font>
    <font>
      <sz val="8"/>
      <name val="Arial"/>
      <family val="2"/>
    </font>
    <font>
      <sz val="7"/>
      <name val="Arial"/>
      <family val="2"/>
    </font>
    <font>
      <sz val="10"/>
      <color indexed="8"/>
      <name val="MS Sans Serif"/>
      <family val="2"/>
    </font>
    <font>
      <b/>
      <sz val="8"/>
      <name val="맑은 고딕"/>
      <family val="3"/>
      <charset val="129"/>
      <scheme val="major"/>
    </font>
    <font>
      <sz val="8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9"/>
      <color indexed="10"/>
      <name val="맑은 고딕"/>
      <family val="3"/>
      <charset val="129"/>
      <scheme val="major"/>
    </font>
    <font>
      <sz val="10"/>
      <color indexed="10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9"/>
      <color theme="0"/>
      <name val="맑은 고딕"/>
      <family val="3"/>
      <charset val="129"/>
      <scheme val="major"/>
    </font>
    <font>
      <sz val="10"/>
      <color theme="0"/>
      <name val="맑은 고딕"/>
      <family val="3"/>
      <charset val="129"/>
      <scheme val="major"/>
    </font>
    <font>
      <sz val="9"/>
      <color rgb="FFFFFF00"/>
      <name val="맑은 고딕"/>
      <family val="3"/>
      <charset val="129"/>
      <scheme val="major"/>
    </font>
    <font>
      <sz val="9"/>
      <color theme="0"/>
      <name val="맑은 고딕"/>
      <family val="3"/>
      <charset val="129"/>
    </font>
    <font>
      <b/>
      <sz val="9"/>
      <name val="맑은 고딕"/>
      <family val="3"/>
      <charset val="129"/>
    </font>
    <font>
      <b/>
      <sz val="9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9"/>
      <color theme="0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8"/>
      <color rgb="FFFF0000"/>
      <name val="맑은 고딕"/>
      <family val="3"/>
      <charset val="129"/>
      <scheme val="major"/>
    </font>
    <font>
      <b/>
      <sz val="8"/>
      <color theme="0"/>
      <name val="맑은 고딕"/>
      <family val="3"/>
      <charset val="129"/>
      <scheme val="major"/>
    </font>
    <font>
      <sz val="8"/>
      <color theme="0"/>
      <name val="맑은 고딕"/>
      <family val="3"/>
      <charset val="129"/>
      <scheme val="major"/>
    </font>
  </fonts>
  <fills count="2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1">
    <xf numFmtId="0" fontId="0" fillId="0" borderId="0">
      <alignment vertical="center"/>
    </xf>
    <xf numFmtId="179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1" fontId="6" fillId="0" borderId="0" applyFont="0" applyFill="0" applyBorder="0" applyAlignment="0" applyProtection="0"/>
    <xf numFmtId="182" fontId="6" fillId="0" borderId="0" applyFont="0" applyFill="0" applyBorder="0" applyAlignment="0" applyProtection="0"/>
    <xf numFmtId="0" fontId="7" fillId="0" borderId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4" fillId="0" borderId="0"/>
    <xf numFmtId="0" fontId="9" fillId="0" borderId="0"/>
    <xf numFmtId="0" fontId="10" fillId="0" borderId="0"/>
    <xf numFmtId="0" fontId="11" fillId="0" borderId="3" applyBorder="0"/>
    <xf numFmtId="0" fontId="12" fillId="0" borderId="0"/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4" fillId="0" borderId="0"/>
    <xf numFmtId="179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2" fillId="0" borderId="0"/>
    <xf numFmtId="0" fontId="1" fillId="0" borderId="0"/>
    <xf numFmtId="41" fontId="1" fillId="0" borderId="0" applyFont="0" applyFill="0" applyBorder="0" applyAlignment="0" applyProtection="0">
      <alignment vertical="center"/>
    </xf>
  </cellStyleXfs>
  <cellXfs count="339">
    <xf numFmtId="0" fontId="0" fillId="0" borderId="0" xfId="0">
      <alignment vertical="center"/>
    </xf>
    <xf numFmtId="0" fontId="15" fillId="0" borderId="0" xfId="18" applyFont="1" applyAlignment="1">
      <alignment horizontal="left" vertical="center"/>
    </xf>
    <xf numFmtId="0" fontId="16" fillId="0" borderId="0" xfId="18" applyFont="1" applyAlignment="1">
      <alignment horizontal="center" vertical="center"/>
    </xf>
    <xf numFmtId="177" fontId="16" fillId="0" borderId="0" xfId="14" applyNumberFormat="1" applyFont="1" applyBorder="1" applyAlignment="1">
      <alignment vertical="center"/>
    </xf>
    <xf numFmtId="41" fontId="16" fillId="0" borderId="0" xfId="14" applyFont="1" applyBorder="1" applyAlignment="1">
      <alignment vertical="center"/>
    </xf>
    <xf numFmtId="0" fontId="16" fillId="0" borderId="0" xfId="18" applyFont="1" applyAlignment="1">
      <alignment vertical="center"/>
    </xf>
    <xf numFmtId="41" fontId="16" fillId="0" borderId="0" xfId="14" applyFont="1" applyAlignment="1">
      <alignment vertical="center"/>
    </xf>
    <xf numFmtId="178" fontId="16" fillId="0" borderId="0" xfId="14" applyNumberFormat="1" applyFont="1" applyAlignment="1">
      <alignment vertical="center"/>
    </xf>
    <xf numFmtId="177" fontId="16" fillId="0" borderId="0" xfId="14" applyNumberFormat="1" applyFont="1" applyAlignment="1">
      <alignment vertical="center"/>
    </xf>
    <xf numFmtId="0" fontId="16" fillId="0" borderId="0" xfId="18" applyFont="1" applyAlignment="1">
      <alignment horizontal="right" vertical="center"/>
    </xf>
    <xf numFmtId="185" fontId="17" fillId="0" borderId="6" xfId="14" applyNumberFormat="1" applyFont="1" applyFill="1" applyBorder="1" applyAlignment="1">
      <alignment horizontal="right" vertical="center"/>
    </xf>
    <xf numFmtId="41" fontId="17" fillId="0" borderId="6" xfId="14" applyFont="1" applyFill="1" applyBorder="1" applyAlignment="1">
      <alignment horizontal="right" vertical="center"/>
    </xf>
    <xf numFmtId="178" fontId="17" fillId="0" borderId="6" xfId="14" applyNumberFormat="1" applyFont="1" applyFill="1" applyBorder="1" applyAlignment="1">
      <alignment horizontal="right" vertical="center"/>
    </xf>
    <xf numFmtId="41" fontId="17" fillId="0" borderId="6" xfId="14" applyFont="1" applyFill="1" applyBorder="1" applyAlignment="1">
      <alignment horizontal="center" vertical="center"/>
    </xf>
    <xf numFmtId="185" fontId="17" fillId="0" borderId="4" xfId="14" applyNumberFormat="1" applyFont="1" applyFill="1" applyBorder="1" applyAlignment="1">
      <alignment horizontal="right" vertical="center"/>
    </xf>
    <xf numFmtId="41" fontId="17" fillId="0" borderId="4" xfId="14" applyFont="1" applyFill="1" applyBorder="1" applyAlignment="1">
      <alignment horizontal="center" vertical="center"/>
    </xf>
    <xf numFmtId="0" fontId="17" fillId="0" borderId="0" xfId="18" applyFont="1" applyAlignment="1">
      <alignment horizontal="left" vertical="center"/>
    </xf>
    <xf numFmtId="0" fontId="16" fillId="0" borderId="0" xfId="18" applyFont="1" applyAlignment="1">
      <alignment horizontal="left" vertical="center"/>
    </xf>
    <xf numFmtId="177" fontId="16" fillId="0" borderId="0" xfId="14" applyNumberFormat="1" applyFont="1" applyFill="1" applyAlignment="1">
      <alignment horizontal="left" vertical="center"/>
    </xf>
    <xf numFmtId="41" fontId="16" fillId="0" borderId="0" xfId="14" applyFont="1" applyFill="1" applyAlignment="1">
      <alignment horizontal="left" vertical="center"/>
    </xf>
    <xf numFmtId="0" fontId="20" fillId="0" borderId="0" xfId="18" applyFont="1" applyAlignment="1">
      <alignment vertical="center"/>
    </xf>
    <xf numFmtId="41" fontId="20" fillId="0" borderId="0" xfId="14" applyFont="1" applyAlignment="1">
      <alignment vertical="center"/>
    </xf>
    <xf numFmtId="177" fontId="20" fillId="0" borderId="0" xfId="14" applyNumberFormat="1" applyFont="1" applyAlignment="1">
      <alignment vertical="center"/>
    </xf>
    <xf numFmtId="0" fontId="20" fillId="0" borderId="0" xfId="18" applyFont="1" applyAlignment="1">
      <alignment horizontal="center" vertical="center"/>
    </xf>
    <xf numFmtId="177" fontId="17" fillId="0" borderId="0" xfId="14" applyNumberFormat="1" applyFont="1" applyAlignment="1">
      <alignment vertical="center"/>
    </xf>
    <xf numFmtId="176" fontId="17" fillId="0" borderId="4" xfId="0" applyNumberFormat="1" applyFont="1" applyBorder="1" applyAlignment="1">
      <alignment horizontal="center" vertical="center"/>
    </xf>
    <xf numFmtId="41" fontId="17" fillId="0" borderId="0" xfId="14" applyFont="1" applyAlignment="1">
      <alignment vertical="center"/>
    </xf>
    <xf numFmtId="0" fontId="17" fillId="0" borderId="0" xfId="18" applyFont="1" applyAlignment="1">
      <alignment vertical="center"/>
    </xf>
    <xf numFmtId="176" fontId="17" fillId="0" borderId="4" xfId="18" applyNumberFormat="1" applyFont="1" applyBorder="1" applyAlignment="1">
      <alignment horizontal="center" vertical="center"/>
    </xf>
    <xf numFmtId="176" fontId="17" fillId="0" borderId="7" xfId="18" applyNumberFormat="1" applyFont="1" applyBorder="1" applyAlignment="1">
      <alignment horizontal="center" vertical="center"/>
    </xf>
    <xf numFmtId="0" fontId="17" fillId="0" borderId="0" xfId="18" applyFont="1" applyAlignment="1">
      <alignment horizontal="center" vertical="center"/>
    </xf>
    <xf numFmtId="0" fontId="17" fillId="0" borderId="0" xfId="14" applyNumberFormat="1" applyFont="1" applyAlignment="1">
      <alignment horizontal="center" vertical="center"/>
    </xf>
    <xf numFmtId="41" fontId="21" fillId="2" borderId="4" xfId="14" applyFont="1" applyFill="1" applyBorder="1" applyAlignment="1">
      <alignment horizontal="center" vertical="center"/>
    </xf>
    <xf numFmtId="0" fontId="15" fillId="0" borderId="0" xfId="0" applyFont="1">
      <alignment vertical="center"/>
    </xf>
    <xf numFmtId="0" fontId="17" fillId="0" borderId="0" xfId="0" applyFont="1">
      <alignment vertical="center"/>
    </xf>
    <xf numFmtId="183" fontId="17" fillId="0" borderId="0" xfId="0" applyNumberFormat="1" applyFont="1">
      <alignment vertical="center"/>
    </xf>
    <xf numFmtId="176" fontId="17" fillId="0" borderId="0" xfId="0" applyNumberFormat="1" applyFont="1">
      <alignment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right" vertical="center"/>
    </xf>
    <xf numFmtId="0" fontId="17" fillId="0" borderId="4" xfId="0" applyFont="1" applyBorder="1" applyAlignment="1">
      <alignment horizontal="center" vertical="center"/>
    </xf>
    <xf numFmtId="0" fontId="16" fillId="0" borderId="0" xfId="18" applyFont="1" applyAlignment="1">
      <alignment horizontal="center"/>
    </xf>
    <xf numFmtId="0" fontId="16" fillId="0" borderId="0" xfId="18" applyFont="1"/>
    <xf numFmtId="0" fontId="20" fillId="0" borderId="0" xfId="18" applyFont="1"/>
    <xf numFmtId="0" fontId="20" fillId="0" borderId="0" xfId="18" applyFont="1" applyAlignment="1">
      <alignment horizontal="center"/>
    </xf>
    <xf numFmtId="177" fontId="20" fillId="0" borderId="0" xfId="14" applyNumberFormat="1" applyFont="1" applyAlignment="1"/>
    <xf numFmtId="41" fontId="20" fillId="0" borderId="0" xfId="14" applyFont="1" applyAlignment="1"/>
    <xf numFmtId="41" fontId="17" fillId="0" borderId="4" xfId="18" applyNumberFormat="1" applyFont="1" applyBorder="1" applyAlignment="1">
      <alignment horizontal="center" vertical="center"/>
    </xf>
    <xf numFmtId="0" fontId="17" fillId="0" borderId="4" xfId="18" applyFont="1" applyBorder="1" applyAlignment="1">
      <alignment horizontal="center" vertical="center"/>
    </xf>
    <xf numFmtId="0" fontId="17" fillId="0" borderId="0" xfId="18" applyFont="1" applyAlignment="1">
      <alignment horizontal="center"/>
    </xf>
    <xf numFmtId="177" fontId="17" fillId="0" borderId="0" xfId="14" applyNumberFormat="1" applyFont="1" applyAlignment="1"/>
    <xf numFmtId="41" fontId="17" fillId="0" borderId="0" xfId="14" applyFont="1" applyAlignment="1"/>
    <xf numFmtId="0" fontId="17" fillId="0" borderId="0" xfId="18" applyFont="1"/>
    <xf numFmtId="0" fontId="15" fillId="0" borderId="0" xfId="19" applyFont="1" applyAlignment="1">
      <alignment horizontal="left" vertical="center"/>
    </xf>
    <xf numFmtId="0" fontId="16" fillId="0" borderId="0" xfId="19" applyFont="1" applyAlignment="1">
      <alignment horizontal="center" vertical="center"/>
    </xf>
    <xf numFmtId="0" fontId="16" fillId="0" borderId="0" xfId="19" applyFont="1" applyAlignment="1">
      <alignment vertical="center"/>
    </xf>
    <xf numFmtId="41" fontId="16" fillId="0" borderId="7" xfId="14" applyFont="1" applyBorder="1" applyAlignment="1">
      <alignment vertical="center"/>
    </xf>
    <xf numFmtId="0" fontId="17" fillId="0" borderId="7" xfId="19" applyFont="1" applyBorder="1" applyAlignment="1">
      <alignment vertical="center"/>
    </xf>
    <xf numFmtId="0" fontId="20" fillId="0" borderId="0" xfId="19" applyFont="1" applyAlignment="1">
      <alignment horizontal="center" vertical="center"/>
    </xf>
    <xf numFmtId="0" fontId="20" fillId="0" borderId="0" xfId="19" applyFont="1" applyAlignment="1">
      <alignment vertical="center"/>
    </xf>
    <xf numFmtId="0" fontId="17" fillId="0" borderId="0" xfId="19" applyFont="1" applyAlignment="1">
      <alignment horizontal="center" vertical="center"/>
    </xf>
    <xf numFmtId="0" fontId="17" fillId="0" borderId="0" xfId="19" applyFont="1" applyAlignment="1">
      <alignment vertical="center"/>
    </xf>
    <xf numFmtId="184" fontId="19" fillId="0" borderId="6" xfId="13" applyNumberFormat="1" applyFont="1" applyFill="1" applyBorder="1" applyAlignment="1">
      <alignment horizontal="center" vertical="center"/>
    </xf>
    <xf numFmtId="184" fontId="19" fillId="0" borderId="10" xfId="13" applyNumberFormat="1" applyFont="1" applyFill="1" applyBorder="1" applyAlignment="1">
      <alignment horizontal="center" vertical="center"/>
    </xf>
    <xf numFmtId="184" fontId="19" fillId="0" borderId="7" xfId="13" applyNumberFormat="1" applyFont="1" applyFill="1" applyBorder="1" applyAlignment="1">
      <alignment horizontal="center" vertical="center"/>
    </xf>
    <xf numFmtId="41" fontId="17" fillId="0" borderId="10" xfId="14" applyFont="1" applyFill="1" applyBorder="1" applyAlignment="1">
      <alignment horizontal="center" vertical="center"/>
    </xf>
    <xf numFmtId="41" fontId="17" fillId="0" borderId="7" xfId="14" applyFont="1" applyFill="1" applyBorder="1" applyAlignment="1">
      <alignment horizontal="center" vertical="center"/>
    </xf>
    <xf numFmtId="9" fontId="19" fillId="0" borderId="6" xfId="13" applyFont="1" applyFill="1" applyBorder="1" applyAlignment="1">
      <alignment horizontal="center" vertical="center"/>
    </xf>
    <xf numFmtId="9" fontId="19" fillId="0" borderId="10" xfId="13" applyFont="1" applyFill="1" applyBorder="1" applyAlignment="1">
      <alignment horizontal="center" vertical="center"/>
    </xf>
    <xf numFmtId="9" fontId="19" fillId="0" borderId="7" xfId="13" applyFont="1" applyFill="1" applyBorder="1" applyAlignment="1">
      <alignment horizontal="center" vertical="center"/>
    </xf>
    <xf numFmtId="0" fontId="17" fillId="0" borderId="6" xfId="19" applyFont="1" applyBorder="1" applyAlignment="1">
      <alignment horizontal="center" vertical="center"/>
    </xf>
    <xf numFmtId="0" fontId="17" fillId="0" borderId="10" xfId="19" applyFont="1" applyBorder="1" applyAlignment="1">
      <alignment horizontal="center" vertical="center"/>
    </xf>
    <xf numFmtId="0" fontId="17" fillId="0" borderId="7" xfId="19" applyFont="1" applyBorder="1" applyAlignment="1">
      <alignment horizontal="center" vertical="center"/>
    </xf>
    <xf numFmtId="0" fontId="17" fillId="0" borderId="6" xfId="14" applyNumberFormat="1" applyFont="1" applyFill="1" applyBorder="1" applyAlignment="1">
      <alignment horizontal="center" vertical="center"/>
    </xf>
    <xf numFmtId="0" fontId="17" fillId="0" borderId="10" xfId="14" applyNumberFormat="1" applyFont="1" applyFill="1" applyBorder="1" applyAlignment="1">
      <alignment horizontal="center" vertical="center"/>
    </xf>
    <xf numFmtId="0" fontId="17" fillId="0" borderId="7" xfId="14" applyNumberFormat="1" applyFont="1" applyFill="1" applyBorder="1" applyAlignment="1">
      <alignment horizontal="center" vertical="center"/>
    </xf>
    <xf numFmtId="184" fontId="18" fillId="0" borderId="6" xfId="13" applyNumberFormat="1" applyFont="1" applyFill="1" applyBorder="1" applyAlignment="1">
      <alignment horizontal="center" vertical="center"/>
    </xf>
    <xf numFmtId="184" fontId="18" fillId="0" borderId="10" xfId="13" applyNumberFormat="1" applyFont="1" applyFill="1" applyBorder="1" applyAlignment="1">
      <alignment horizontal="center" vertical="center"/>
    </xf>
    <xf numFmtId="184" fontId="18" fillId="0" borderId="7" xfId="13" applyNumberFormat="1" applyFont="1" applyFill="1" applyBorder="1" applyAlignment="1">
      <alignment horizontal="center" vertical="center"/>
    </xf>
    <xf numFmtId="177" fontId="17" fillId="0" borderId="0" xfId="14" applyNumberFormat="1" applyFont="1" applyBorder="1" applyAlignment="1">
      <alignment vertical="center"/>
    </xf>
    <xf numFmtId="41" fontId="17" fillId="0" borderId="0" xfId="14" applyFont="1" applyBorder="1" applyAlignment="1">
      <alignment vertical="center"/>
    </xf>
    <xf numFmtId="178" fontId="17" fillId="0" borderId="0" xfId="14" applyNumberFormat="1" applyFont="1" applyAlignment="1">
      <alignment vertical="center"/>
    </xf>
    <xf numFmtId="41" fontId="17" fillId="0" borderId="4" xfId="0" applyNumberFormat="1" applyFont="1" applyBorder="1" applyAlignment="1">
      <alignment horizontal="right" vertical="center"/>
    </xf>
    <xf numFmtId="41" fontId="17" fillId="0" borderId="6" xfId="0" applyNumberFormat="1" applyFont="1" applyBorder="1" applyAlignment="1">
      <alignment horizontal="right" vertical="center"/>
    </xf>
    <xf numFmtId="177" fontId="17" fillId="0" borderId="4" xfId="0" applyNumberFormat="1" applyFont="1" applyBorder="1" applyAlignment="1">
      <alignment horizontal="right" vertical="center"/>
    </xf>
    <xf numFmtId="177" fontId="17" fillId="0" borderId="6" xfId="0" applyNumberFormat="1" applyFont="1" applyBorder="1" applyAlignment="1">
      <alignment horizontal="right" vertical="center"/>
    </xf>
    <xf numFmtId="41" fontId="14" fillId="0" borderId="8" xfId="14" applyFont="1" applyFill="1" applyBorder="1" applyAlignment="1">
      <alignment horizontal="right" vertical="center"/>
    </xf>
    <xf numFmtId="41" fontId="14" fillId="0" borderId="4" xfId="14" applyFont="1" applyFill="1" applyBorder="1" applyAlignment="1">
      <alignment horizontal="right" vertical="center"/>
    </xf>
    <xf numFmtId="41" fontId="14" fillId="0" borderId="4" xfId="0" applyNumberFormat="1" applyFont="1" applyBorder="1" applyAlignment="1">
      <alignment horizontal="right" vertical="center"/>
    </xf>
    <xf numFmtId="0" fontId="25" fillId="0" borderId="0" xfId="18" applyFont="1" applyAlignment="1">
      <alignment horizontal="center" vertical="center"/>
    </xf>
    <xf numFmtId="0" fontId="24" fillId="21" borderId="6" xfId="18" applyFont="1" applyFill="1" applyBorder="1" applyAlignment="1">
      <alignment horizontal="center" vertical="center"/>
    </xf>
    <xf numFmtId="0" fontId="24" fillId="21" borderId="7" xfId="18" applyFont="1" applyFill="1" applyBorder="1" applyAlignment="1">
      <alignment horizontal="center" vertical="center"/>
    </xf>
    <xf numFmtId="176" fontId="17" fillId="0" borderId="6" xfId="0" applyNumberFormat="1" applyFont="1" applyBorder="1" applyAlignment="1">
      <alignment horizontal="center" vertical="center"/>
    </xf>
    <xf numFmtId="41" fontId="17" fillId="0" borderId="6" xfId="18" applyNumberFormat="1" applyFont="1" applyBorder="1" applyAlignment="1">
      <alignment horizontal="center" vertical="center"/>
    </xf>
    <xf numFmtId="41" fontId="14" fillId="0" borderId="8" xfId="0" applyNumberFormat="1" applyFont="1" applyBorder="1" applyAlignment="1">
      <alignment horizontal="right" vertical="center"/>
    </xf>
    <xf numFmtId="41" fontId="14" fillId="0" borderId="4" xfId="14" applyFont="1" applyBorder="1" applyAlignment="1">
      <alignment horizontal="right" vertical="center"/>
    </xf>
    <xf numFmtId="41" fontId="14" fillId="0" borderId="6" xfId="14" applyFont="1" applyBorder="1" applyAlignment="1">
      <alignment horizontal="right" vertical="center"/>
    </xf>
    <xf numFmtId="41" fontId="14" fillId="0" borderId="15" xfId="14" applyFont="1" applyBorder="1" applyAlignment="1">
      <alignment horizontal="right" vertical="center"/>
    </xf>
    <xf numFmtId="41" fontId="14" fillId="0" borderId="9" xfId="0" applyNumberFormat="1" applyFont="1" applyBorder="1" applyAlignment="1">
      <alignment horizontal="right" vertical="center"/>
    </xf>
    <xf numFmtId="41" fontId="14" fillId="0" borderId="3" xfId="0" applyNumberFormat="1" applyFont="1" applyBorder="1" applyAlignment="1">
      <alignment horizontal="right" vertical="center"/>
    </xf>
    <xf numFmtId="41" fontId="14" fillId="0" borderId="11" xfId="0" applyNumberFormat="1" applyFont="1" applyBorder="1" applyAlignment="1">
      <alignment horizontal="right" vertical="center"/>
    </xf>
    <xf numFmtId="41" fontId="14" fillId="0" borderId="8" xfId="14" applyFont="1" applyBorder="1" applyAlignment="1">
      <alignment horizontal="right" vertical="center"/>
    </xf>
    <xf numFmtId="41" fontId="14" fillId="0" borderId="7" xfId="14" applyFont="1" applyBorder="1" applyAlignment="1">
      <alignment horizontal="right" vertical="center"/>
    </xf>
    <xf numFmtId="41" fontId="14" fillId="0" borderId="15" xfId="14" applyFont="1" applyFill="1" applyBorder="1" applyAlignment="1">
      <alignment horizontal="right" vertical="center"/>
    </xf>
    <xf numFmtId="41" fontId="14" fillId="0" borderId="7" xfId="14" applyFont="1" applyFill="1" applyBorder="1" applyAlignment="1">
      <alignment horizontal="right" vertical="center"/>
    </xf>
    <xf numFmtId="41" fontId="14" fillId="0" borderId="6" xfId="14" applyFont="1" applyFill="1" applyBorder="1" applyAlignment="1">
      <alignment horizontal="right" vertical="center"/>
    </xf>
    <xf numFmtId="0" fontId="17" fillId="0" borderId="6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6" xfId="18" applyFont="1" applyBorder="1" applyAlignment="1">
      <alignment horizontal="center" vertical="center"/>
    </xf>
    <xf numFmtId="0" fontId="17" fillId="0" borderId="10" xfId="18" applyFont="1" applyBorder="1" applyAlignment="1">
      <alignment horizontal="center" vertical="center"/>
    </xf>
    <xf numFmtId="0" fontId="17" fillId="0" borderId="7" xfId="18" applyFont="1" applyBorder="1" applyAlignment="1">
      <alignment horizontal="center" vertical="center"/>
    </xf>
    <xf numFmtId="0" fontId="17" fillId="0" borderId="4" xfId="19" applyFont="1" applyBorder="1" applyAlignment="1">
      <alignment horizontal="center" vertical="center"/>
    </xf>
    <xf numFmtId="41" fontId="14" fillId="0" borderId="0" xfId="14" applyFont="1" applyAlignment="1">
      <alignment horizontal="center"/>
    </xf>
    <xf numFmtId="41" fontId="14" fillId="0" borderId="0" xfId="18" applyNumberFormat="1" applyFont="1" applyAlignment="1">
      <alignment horizontal="center"/>
    </xf>
    <xf numFmtId="41" fontId="14" fillId="0" borderId="20" xfId="18" applyNumberFormat="1" applyFont="1" applyBorder="1" applyAlignment="1">
      <alignment horizontal="center"/>
    </xf>
    <xf numFmtId="41" fontId="14" fillId="0" borderId="21" xfId="18" applyNumberFormat="1" applyFont="1" applyBorder="1" applyAlignment="1">
      <alignment horizontal="center"/>
    </xf>
    <xf numFmtId="41" fontId="14" fillId="5" borderId="4" xfId="18" applyNumberFormat="1" applyFont="1" applyFill="1" applyBorder="1" applyAlignment="1">
      <alignment horizontal="center"/>
    </xf>
    <xf numFmtId="41" fontId="14" fillId="5" borderId="6" xfId="18" applyNumberFormat="1" applyFont="1" applyFill="1" applyBorder="1" applyAlignment="1">
      <alignment horizontal="center"/>
    </xf>
    <xf numFmtId="41" fontId="14" fillId="11" borderId="4" xfId="18" applyNumberFormat="1" applyFont="1" applyFill="1" applyBorder="1" applyAlignment="1">
      <alignment horizontal="center"/>
    </xf>
    <xf numFmtId="41" fontId="14" fillId="12" borderId="4" xfId="18" applyNumberFormat="1" applyFont="1" applyFill="1" applyBorder="1" applyAlignment="1">
      <alignment horizontal="center"/>
    </xf>
    <xf numFmtId="41" fontId="14" fillId="0" borderId="4" xfId="0" applyNumberFormat="1" applyFont="1" applyBorder="1" applyAlignment="1">
      <alignment horizontal="center" vertical="center"/>
    </xf>
    <xf numFmtId="41" fontId="14" fillId="0" borderId="1" xfId="14" applyFont="1" applyBorder="1" applyAlignment="1">
      <alignment horizontal="right" vertical="center"/>
    </xf>
    <xf numFmtId="41" fontId="14" fillId="0" borderId="4" xfId="18" applyNumberFormat="1" applyFont="1" applyBorder="1" applyAlignment="1">
      <alignment horizontal="center" vertical="center"/>
    </xf>
    <xf numFmtId="41" fontId="14" fillId="0" borderId="7" xfId="18" applyNumberFormat="1" applyFont="1" applyBorder="1" applyAlignment="1">
      <alignment horizontal="center" vertical="center"/>
    </xf>
    <xf numFmtId="41" fontId="14" fillId="0" borderId="6" xfId="0" applyNumberFormat="1" applyFont="1" applyBorder="1" applyAlignment="1">
      <alignment horizontal="right" vertical="center"/>
    </xf>
    <xf numFmtId="41" fontId="14" fillId="0" borderId="6" xfId="0" applyNumberFormat="1" applyFont="1" applyBorder="1" applyAlignment="1">
      <alignment horizontal="center" vertical="center"/>
    </xf>
    <xf numFmtId="41" fontId="14" fillId="0" borderId="10" xfId="0" applyNumberFormat="1" applyFont="1" applyBorder="1" applyAlignment="1">
      <alignment horizontal="right" vertical="center"/>
    </xf>
    <xf numFmtId="41" fontId="14" fillId="0" borderId="8" xfId="0" applyNumberFormat="1" applyFont="1" applyBorder="1" applyAlignment="1">
      <alignment horizontal="center" vertical="center"/>
    </xf>
    <xf numFmtId="41" fontId="14" fillId="0" borderId="9" xfId="0" applyNumberFormat="1" applyFont="1" applyBorder="1" applyAlignment="1">
      <alignment horizontal="center" vertical="center"/>
    </xf>
    <xf numFmtId="41" fontId="14" fillId="0" borderId="17" xfId="0" applyNumberFormat="1" applyFont="1" applyBorder="1" applyAlignment="1">
      <alignment horizontal="center" vertical="center"/>
    </xf>
    <xf numFmtId="41" fontId="14" fillId="0" borderId="0" xfId="0" applyNumberFormat="1" applyFont="1" applyAlignment="1">
      <alignment horizontal="right" vertical="center"/>
    </xf>
    <xf numFmtId="41" fontId="14" fillId="0" borderId="7" xfId="0" applyNumberFormat="1" applyFont="1" applyBorder="1" applyAlignment="1">
      <alignment horizontal="center" vertical="center"/>
    </xf>
    <xf numFmtId="41" fontId="14" fillId="0" borderId="7" xfId="0" applyNumberFormat="1" applyFont="1" applyBorder="1" applyAlignment="1">
      <alignment horizontal="right" vertical="center"/>
    </xf>
    <xf numFmtId="41" fontId="14" fillId="0" borderId="0" xfId="18" applyNumberFormat="1" applyFont="1" applyAlignment="1">
      <alignment horizontal="center" vertical="center"/>
    </xf>
    <xf numFmtId="41" fontId="14" fillId="0" borderId="0" xfId="14" applyFont="1" applyFill="1" applyAlignment="1">
      <alignment horizontal="right" vertical="center"/>
    </xf>
    <xf numFmtId="41" fontId="14" fillId="0" borderId="8" xfId="18" applyNumberFormat="1" applyFont="1" applyBorder="1" applyAlignment="1">
      <alignment horizontal="center" vertical="center"/>
    </xf>
    <xf numFmtId="41" fontId="14" fillId="14" borderId="4" xfId="18" applyNumberFormat="1" applyFont="1" applyFill="1" applyBorder="1" applyAlignment="1">
      <alignment horizontal="center"/>
    </xf>
    <xf numFmtId="41" fontId="14" fillId="0" borderId="6" xfId="18" applyNumberFormat="1" applyFont="1" applyBorder="1" applyAlignment="1">
      <alignment horizontal="center" vertical="center"/>
    </xf>
    <xf numFmtId="41" fontId="14" fillId="0" borderId="0" xfId="0" applyNumberFormat="1" applyFont="1" applyAlignment="1">
      <alignment horizontal="center" vertical="center"/>
    </xf>
    <xf numFmtId="41" fontId="14" fillId="0" borderId="0" xfId="14" applyFont="1" applyBorder="1" applyAlignment="1">
      <alignment horizontal="right" vertical="center"/>
    </xf>
    <xf numFmtId="41" fontId="14" fillId="6" borderId="4" xfId="18" applyNumberFormat="1" applyFont="1" applyFill="1" applyBorder="1" applyAlignment="1">
      <alignment horizontal="center"/>
    </xf>
    <xf numFmtId="41" fontId="14" fillId="0" borderId="13" xfId="18" applyNumberFormat="1" applyFont="1" applyBorder="1" applyAlignment="1">
      <alignment horizontal="center" vertical="center"/>
    </xf>
    <xf numFmtId="41" fontId="14" fillId="0" borderId="0" xfId="18" applyNumberFormat="1" applyFont="1" applyAlignment="1">
      <alignment horizontal="right"/>
    </xf>
    <xf numFmtId="41" fontId="14" fillId="6" borderId="6" xfId="18" applyNumberFormat="1" applyFont="1" applyFill="1" applyBorder="1" applyAlignment="1">
      <alignment horizontal="center"/>
    </xf>
    <xf numFmtId="41" fontId="14" fillId="0" borderId="1" xfId="14" applyFont="1" applyFill="1" applyBorder="1" applyAlignment="1">
      <alignment horizontal="right" vertical="center"/>
    </xf>
    <xf numFmtId="41" fontId="14" fillId="0" borderId="9" xfId="14" applyFont="1" applyBorder="1" applyAlignment="1">
      <alignment horizontal="right" vertical="center"/>
    </xf>
    <xf numFmtId="41" fontId="14" fillId="0" borderId="0" xfId="14" applyFont="1" applyFill="1" applyAlignment="1">
      <alignment horizontal="center" vertical="center"/>
    </xf>
    <xf numFmtId="41" fontId="14" fillId="0" borderId="0" xfId="14" applyFont="1" applyFill="1" applyAlignment="1">
      <alignment horizontal="center"/>
    </xf>
    <xf numFmtId="41" fontId="14" fillId="0" borderId="9" xfId="14" applyFont="1" applyFill="1" applyBorder="1" applyAlignment="1">
      <alignment horizontal="right" vertical="center"/>
    </xf>
    <xf numFmtId="41" fontId="14" fillId="17" borderId="4" xfId="18" applyNumberFormat="1" applyFont="1" applyFill="1" applyBorder="1" applyAlignment="1">
      <alignment horizontal="center"/>
    </xf>
    <xf numFmtId="41" fontId="14" fillId="3" borderId="4" xfId="18" applyNumberFormat="1" applyFont="1" applyFill="1" applyBorder="1" applyAlignment="1">
      <alignment horizontal="center"/>
    </xf>
    <xf numFmtId="41" fontId="14" fillId="0" borderId="5" xfId="18" applyNumberFormat="1" applyFont="1" applyBorder="1" applyAlignment="1">
      <alignment horizontal="center" vertical="center"/>
    </xf>
    <xf numFmtId="41" fontId="14" fillId="0" borderId="5" xfId="14" applyFont="1" applyBorder="1" applyAlignment="1">
      <alignment horizontal="right" vertical="center"/>
    </xf>
    <xf numFmtId="41" fontId="14" fillId="0" borderId="0" xfId="14" applyFont="1" applyAlignment="1">
      <alignment horizontal="right"/>
    </xf>
    <xf numFmtId="41" fontId="14" fillId="0" borderId="0" xfId="14" applyFont="1" applyFill="1" applyAlignment="1">
      <alignment horizontal="right"/>
    </xf>
    <xf numFmtId="41" fontId="17" fillId="0" borderId="4" xfId="14" applyFont="1" applyFill="1" applyBorder="1" applyAlignment="1">
      <alignment horizontal="right" vertical="center"/>
    </xf>
    <xf numFmtId="41" fontId="17" fillId="0" borderId="4" xfId="0" applyNumberFormat="1" applyFont="1" applyBorder="1" applyAlignment="1">
      <alignment horizontal="center" vertical="center"/>
    </xf>
    <xf numFmtId="41" fontId="17" fillId="0" borderId="4" xfId="14" applyFont="1" applyFill="1" applyBorder="1" applyAlignment="1">
      <alignment vertical="center"/>
    </xf>
    <xf numFmtId="41" fontId="17" fillId="0" borderId="6" xfId="0" applyNumberFormat="1" applyFont="1" applyBorder="1" applyAlignment="1">
      <alignment horizontal="center" vertical="center"/>
    </xf>
    <xf numFmtId="177" fontId="17" fillId="0" borderId="0" xfId="14" applyNumberFormat="1" applyFont="1" applyFill="1" applyAlignment="1">
      <alignment horizontal="left" vertical="center"/>
    </xf>
    <xf numFmtId="41" fontId="17" fillId="0" borderId="0" xfId="14" applyFont="1" applyFill="1" applyAlignment="1">
      <alignment horizontal="left" vertical="center"/>
    </xf>
    <xf numFmtId="176" fontId="17" fillId="0" borderId="10" xfId="0" applyNumberFormat="1" applyFont="1" applyBorder="1" applyAlignment="1">
      <alignment horizontal="center" vertical="center"/>
    </xf>
    <xf numFmtId="176" fontId="17" fillId="0" borderId="7" xfId="0" applyNumberFormat="1" applyFont="1" applyBorder="1" applyAlignment="1">
      <alignment horizontal="center" vertical="center"/>
    </xf>
    <xf numFmtId="41" fontId="14" fillId="19" borderId="4" xfId="18" applyNumberFormat="1" applyFont="1" applyFill="1" applyBorder="1" applyAlignment="1">
      <alignment horizontal="center"/>
    </xf>
    <xf numFmtId="41" fontId="14" fillId="0" borderId="0" xfId="14" applyFont="1" applyBorder="1" applyAlignment="1">
      <alignment horizontal="right"/>
    </xf>
    <xf numFmtId="0" fontId="27" fillId="0" borderId="0" xfId="14" applyNumberFormat="1" applyFont="1" applyBorder="1" applyAlignment="1">
      <alignment horizontal="center" vertical="center"/>
    </xf>
    <xf numFmtId="0" fontId="27" fillId="0" borderId="0" xfId="14" applyNumberFormat="1" applyFont="1" applyAlignment="1">
      <alignment horizontal="center" vertical="center"/>
    </xf>
    <xf numFmtId="0" fontId="26" fillId="0" borderId="6" xfId="14" applyNumberFormat="1" applyFont="1" applyFill="1" applyBorder="1" applyAlignment="1">
      <alignment horizontal="center" vertical="center"/>
    </xf>
    <xf numFmtId="0" fontId="26" fillId="0" borderId="0" xfId="14" applyNumberFormat="1" applyFont="1" applyAlignment="1">
      <alignment horizontal="center" vertical="center"/>
    </xf>
    <xf numFmtId="0" fontId="26" fillId="0" borderId="0" xfId="14" applyNumberFormat="1" applyFont="1" applyFill="1" applyAlignment="1">
      <alignment horizontal="center" vertical="center"/>
    </xf>
    <xf numFmtId="0" fontId="26" fillId="0" borderId="4" xfId="14" applyNumberFormat="1" applyFont="1" applyBorder="1" applyAlignment="1">
      <alignment horizontal="center" vertical="center"/>
    </xf>
    <xf numFmtId="0" fontId="29" fillId="0" borderId="0" xfId="14" applyNumberFormat="1" applyFont="1" applyAlignment="1">
      <alignment horizontal="center" vertical="center"/>
    </xf>
    <xf numFmtId="0" fontId="27" fillId="0" borderId="0" xfId="18" applyFont="1" applyAlignment="1">
      <alignment horizontal="center" vertical="center"/>
    </xf>
    <xf numFmtId="0" fontId="26" fillId="0" borderId="6" xfId="18" quotePrefix="1" applyFont="1" applyBorder="1" applyAlignment="1">
      <alignment horizontal="center" vertical="center"/>
    </xf>
    <xf numFmtId="0" fontId="26" fillId="0" borderId="10" xfId="18" quotePrefix="1" applyFont="1" applyBorder="1" applyAlignment="1">
      <alignment horizontal="center" vertical="center"/>
    </xf>
    <xf numFmtId="0" fontId="26" fillId="0" borderId="7" xfId="18" quotePrefix="1" applyFont="1" applyBorder="1" applyAlignment="1">
      <alignment horizontal="center" vertical="center"/>
    </xf>
    <xf numFmtId="0" fontId="26" fillId="0" borderId="0" xfId="18" applyFont="1" applyAlignment="1">
      <alignment horizontal="center" vertical="center"/>
    </xf>
    <xf numFmtId="0" fontId="26" fillId="0" borderId="4" xfId="18" applyFont="1" applyBorder="1" applyAlignment="1">
      <alignment horizontal="center" vertical="center"/>
    </xf>
    <xf numFmtId="0" fontId="29" fillId="0" borderId="0" xfId="18" applyFont="1" applyAlignment="1">
      <alignment horizontal="center" vertical="center"/>
    </xf>
    <xf numFmtId="0" fontId="26" fillId="0" borderId="10" xfId="14" applyNumberFormat="1" applyFont="1" applyFill="1" applyBorder="1" applyAlignment="1">
      <alignment horizontal="center" vertical="center"/>
    </xf>
    <xf numFmtId="0" fontId="26" fillId="0" borderId="7" xfId="14" applyNumberFormat="1" applyFont="1" applyFill="1" applyBorder="1" applyAlignment="1">
      <alignment horizontal="center" vertical="center"/>
    </xf>
    <xf numFmtId="0" fontId="26" fillId="0" borderId="0" xfId="14" applyNumberFormat="1" applyFont="1" applyBorder="1" applyAlignment="1">
      <alignment horizontal="center" vertical="center"/>
    </xf>
    <xf numFmtId="0" fontId="27" fillId="0" borderId="0" xfId="14" applyNumberFormat="1" applyFont="1" applyFill="1" applyAlignment="1">
      <alignment horizontal="center" vertical="center"/>
    </xf>
    <xf numFmtId="0" fontId="26" fillId="0" borderId="6" xfId="18" applyFont="1" applyBorder="1" applyAlignment="1">
      <alignment horizontal="center" vertical="center"/>
    </xf>
    <xf numFmtId="177" fontId="26" fillId="0" borderId="0" xfId="14" applyNumberFormat="1" applyFont="1" applyBorder="1" applyAlignment="1">
      <alignment horizontal="center" vertical="center"/>
    </xf>
    <xf numFmtId="177" fontId="27" fillId="0" borderId="0" xfId="14" applyNumberFormat="1" applyFont="1" applyAlignment="1">
      <alignment horizontal="center" vertical="center"/>
    </xf>
    <xf numFmtId="177" fontId="26" fillId="0" borderId="0" xfId="14" applyNumberFormat="1" applyFont="1" applyAlignment="1">
      <alignment horizontal="center" vertical="center"/>
    </xf>
    <xf numFmtId="177" fontId="26" fillId="0" borderId="4" xfId="14" applyNumberFormat="1" applyFont="1" applyBorder="1" applyAlignment="1">
      <alignment horizontal="center" vertical="center"/>
    </xf>
    <xf numFmtId="177" fontId="29" fillId="0" borderId="0" xfId="14" applyNumberFormat="1" applyFont="1" applyAlignment="1">
      <alignment horizontal="center" vertical="center"/>
    </xf>
    <xf numFmtId="177" fontId="26" fillId="0" borderId="0" xfId="14" applyNumberFormat="1" applyFont="1" applyBorder="1" applyAlignment="1">
      <alignment vertical="center"/>
    </xf>
    <xf numFmtId="177" fontId="27" fillId="0" borderId="0" xfId="14" applyNumberFormat="1" applyFont="1" applyAlignment="1">
      <alignment vertical="center"/>
    </xf>
    <xf numFmtId="177" fontId="26" fillId="0" borderId="0" xfId="14" applyNumberFormat="1" applyFont="1" applyAlignment="1">
      <alignment vertical="center"/>
    </xf>
    <xf numFmtId="177" fontId="29" fillId="0" borderId="0" xfId="14" applyNumberFormat="1" applyFont="1" applyAlignment="1">
      <alignment vertical="center"/>
    </xf>
    <xf numFmtId="183" fontId="26" fillId="0" borderId="0" xfId="0" applyNumberFormat="1" applyFont="1" applyAlignment="1">
      <alignment horizontal="center" vertical="center"/>
    </xf>
    <xf numFmtId="41" fontId="26" fillId="0" borderId="0" xfId="14" applyFont="1" applyAlignment="1">
      <alignment horizontal="center" vertical="center"/>
    </xf>
    <xf numFmtId="41" fontId="29" fillId="0" borderId="0" xfId="14" applyFont="1" applyAlignment="1">
      <alignment horizontal="center" vertical="center"/>
    </xf>
    <xf numFmtId="41" fontId="14" fillId="0" borderId="0" xfId="18" applyNumberFormat="1" applyFont="1"/>
    <xf numFmtId="41" fontId="14" fillId="0" borderId="13" xfId="0" applyNumberFormat="1" applyFont="1" applyBorder="1" applyAlignment="1">
      <alignment horizontal="center" vertical="center"/>
    </xf>
    <xf numFmtId="41" fontId="14" fillId="11" borderId="6" xfId="18" applyNumberFormat="1" applyFont="1" applyFill="1" applyBorder="1" applyAlignment="1">
      <alignment horizontal="center"/>
    </xf>
    <xf numFmtId="41" fontId="14" fillId="8" borderId="4" xfId="18" applyNumberFormat="1" applyFont="1" applyFill="1" applyBorder="1" applyAlignment="1">
      <alignment horizontal="center"/>
    </xf>
    <xf numFmtId="41" fontId="14" fillId="8" borderId="6" xfId="18" applyNumberFormat="1" applyFont="1" applyFill="1" applyBorder="1" applyAlignment="1">
      <alignment horizontal="center"/>
    </xf>
    <xf numFmtId="41" fontId="14" fillId="24" borderId="4" xfId="18" applyNumberFormat="1" applyFont="1" applyFill="1" applyBorder="1" applyAlignment="1">
      <alignment horizontal="center"/>
    </xf>
    <xf numFmtId="41" fontId="14" fillId="0" borderId="14" xfId="18" applyNumberFormat="1" applyFont="1" applyBorder="1" applyAlignment="1">
      <alignment horizontal="center" vertical="top"/>
    </xf>
    <xf numFmtId="41" fontId="14" fillId="0" borderId="1" xfId="14" applyFont="1" applyFill="1" applyBorder="1" applyAlignment="1">
      <alignment horizontal="left" vertical="center"/>
    </xf>
    <xf numFmtId="41" fontId="14" fillId="0" borderId="11" xfId="18" applyNumberFormat="1" applyFont="1" applyBorder="1" applyAlignment="1">
      <alignment horizontal="center" vertical="center"/>
    </xf>
    <xf numFmtId="41" fontId="14" fillId="0" borderId="0" xfId="14" applyFont="1" applyFill="1" applyBorder="1" applyAlignment="1">
      <alignment horizontal="right"/>
    </xf>
    <xf numFmtId="41" fontId="14" fillId="25" borderId="4" xfId="18" applyNumberFormat="1" applyFont="1" applyFill="1" applyBorder="1" applyAlignment="1">
      <alignment horizontal="center"/>
    </xf>
    <xf numFmtId="0" fontId="21" fillId="26" borderId="4" xfId="0" applyFont="1" applyFill="1" applyBorder="1" applyAlignment="1">
      <alignment horizontal="center" vertical="center"/>
    </xf>
    <xf numFmtId="183" fontId="21" fillId="26" borderId="4" xfId="0" applyNumberFormat="1" applyFont="1" applyFill="1" applyBorder="1" applyAlignment="1">
      <alignment horizontal="center" vertical="center"/>
    </xf>
    <xf numFmtId="176" fontId="21" fillId="26" borderId="4" xfId="0" applyNumberFormat="1" applyFont="1" applyFill="1" applyBorder="1" applyAlignment="1">
      <alignment horizontal="center" vertical="center"/>
    </xf>
    <xf numFmtId="0" fontId="17" fillId="16" borderId="4" xfId="0" applyFont="1" applyFill="1" applyBorder="1" applyAlignment="1">
      <alignment horizontal="center" vertical="center"/>
    </xf>
    <xf numFmtId="0" fontId="17" fillId="16" borderId="4" xfId="0" applyFont="1" applyFill="1" applyBorder="1" applyAlignment="1">
      <alignment horizontal="right" vertical="center"/>
    </xf>
    <xf numFmtId="41" fontId="17" fillId="16" borderId="4" xfId="0" applyNumberFormat="1" applyFont="1" applyFill="1" applyBorder="1" applyAlignment="1">
      <alignment horizontal="center" vertical="center"/>
    </xf>
    <xf numFmtId="41" fontId="17" fillId="16" borderId="4" xfId="0" applyNumberFormat="1" applyFont="1" applyFill="1" applyBorder="1" applyAlignment="1">
      <alignment horizontal="right" vertical="center"/>
    </xf>
    <xf numFmtId="177" fontId="17" fillId="16" borderId="4" xfId="0" applyNumberFormat="1" applyFont="1" applyFill="1" applyBorder="1" applyAlignment="1">
      <alignment horizontal="right" vertical="center"/>
    </xf>
    <xf numFmtId="183" fontId="17" fillId="16" borderId="4" xfId="0" applyNumberFormat="1" applyFont="1" applyFill="1" applyBorder="1" applyAlignment="1">
      <alignment horizontal="right" vertical="center"/>
    </xf>
    <xf numFmtId="41" fontId="26" fillId="18" borderId="4" xfId="18" applyNumberFormat="1" applyFont="1" applyFill="1" applyBorder="1" applyAlignment="1">
      <alignment horizontal="right" vertical="center"/>
    </xf>
    <xf numFmtId="41" fontId="26" fillId="6" borderId="4" xfId="18" applyNumberFormat="1" applyFont="1" applyFill="1" applyBorder="1" applyAlignment="1">
      <alignment horizontal="right" vertical="center"/>
    </xf>
    <xf numFmtId="177" fontId="21" fillId="26" borderId="4" xfId="14" applyNumberFormat="1" applyFont="1" applyFill="1" applyBorder="1" applyAlignment="1">
      <alignment horizontal="center" vertical="center"/>
    </xf>
    <xf numFmtId="41" fontId="21" fillId="26" borderId="4" xfId="14" applyFont="1" applyFill="1" applyBorder="1" applyAlignment="1">
      <alignment horizontal="center" vertical="center"/>
    </xf>
    <xf numFmtId="0" fontId="21" fillId="26" borderId="4" xfId="18" applyFont="1" applyFill="1" applyBorder="1" applyAlignment="1">
      <alignment horizontal="center" vertical="center"/>
    </xf>
    <xf numFmtId="177" fontId="23" fillId="26" borderId="4" xfId="14" applyNumberFormat="1" applyFont="1" applyFill="1" applyBorder="1" applyAlignment="1">
      <alignment horizontal="center" vertical="center"/>
    </xf>
    <xf numFmtId="0" fontId="26" fillId="16" borderId="4" xfId="0" applyFont="1" applyFill="1" applyBorder="1" applyAlignment="1">
      <alignment horizontal="center" vertical="center"/>
    </xf>
    <xf numFmtId="0" fontId="17" fillId="16" borderId="4" xfId="0" applyFont="1" applyFill="1" applyBorder="1">
      <alignment vertical="center"/>
    </xf>
    <xf numFmtId="41" fontId="17" fillId="16" borderId="4" xfId="0" applyNumberFormat="1" applyFont="1" applyFill="1" applyBorder="1">
      <alignment vertical="center"/>
    </xf>
    <xf numFmtId="176" fontId="17" fillId="16" borderId="4" xfId="0" applyNumberFormat="1" applyFont="1" applyFill="1" applyBorder="1">
      <alignment vertical="center"/>
    </xf>
    <xf numFmtId="41" fontId="26" fillId="6" borderId="4" xfId="14" applyFont="1" applyFill="1" applyBorder="1" applyAlignment="1">
      <alignment horizontal="right" vertical="center"/>
    </xf>
    <xf numFmtId="41" fontId="26" fillId="16" borderId="2" xfId="0" applyNumberFormat="1" applyFont="1" applyFill="1" applyBorder="1">
      <alignment vertical="center"/>
    </xf>
    <xf numFmtId="0" fontId="17" fillId="16" borderId="12" xfId="0" applyFont="1" applyFill="1" applyBorder="1">
      <alignment vertical="center"/>
    </xf>
    <xf numFmtId="41" fontId="14" fillId="0" borderId="14" xfId="18" applyNumberFormat="1" applyFont="1" applyBorder="1" applyAlignment="1">
      <alignment horizontal="center" vertical="center"/>
    </xf>
    <xf numFmtId="41" fontId="14" fillId="0" borderId="4" xfId="18" applyNumberFormat="1" applyFont="1" applyBorder="1" applyAlignment="1">
      <alignment horizontal="center"/>
    </xf>
    <xf numFmtId="41" fontId="14" fillId="0" borderId="0" xfId="14" applyFont="1" applyFill="1" applyBorder="1" applyAlignment="1">
      <alignment horizontal="right" vertical="center"/>
    </xf>
    <xf numFmtId="49" fontId="26" fillId="0" borderId="10" xfId="18" quotePrefix="1" applyNumberFormat="1" applyFont="1" applyBorder="1" applyAlignment="1">
      <alignment horizontal="center" vertical="center"/>
    </xf>
    <xf numFmtId="49" fontId="26" fillId="0" borderId="7" xfId="18" quotePrefix="1" applyNumberFormat="1" applyFont="1" applyBorder="1" applyAlignment="1">
      <alignment horizontal="center" vertical="center"/>
    </xf>
    <xf numFmtId="177" fontId="26" fillId="0" borderId="6" xfId="14" applyNumberFormat="1" applyFont="1" applyBorder="1" applyAlignment="1">
      <alignment horizontal="center" vertical="center"/>
    </xf>
    <xf numFmtId="41" fontId="14" fillId="0" borderId="10" xfId="14" applyFont="1" applyBorder="1" applyAlignment="1">
      <alignment horizontal="right" vertical="center"/>
    </xf>
    <xf numFmtId="41" fontId="14" fillId="0" borderId="9" xfId="18" applyNumberFormat="1" applyFont="1" applyBorder="1" applyAlignment="1">
      <alignment horizontal="center" vertical="center"/>
    </xf>
    <xf numFmtId="0" fontId="26" fillId="0" borderId="18" xfId="18" applyFont="1" applyBorder="1" applyAlignment="1">
      <alignment horizontal="center" vertical="center"/>
    </xf>
    <xf numFmtId="176" fontId="17" fillId="0" borderId="2" xfId="18" applyNumberFormat="1" applyFont="1" applyBorder="1" applyAlignment="1">
      <alignment horizontal="center" vertical="center"/>
    </xf>
    <xf numFmtId="41" fontId="17" fillId="0" borderId="12" xfId="18" applyNumberFormat="1" applyFont="1" applyBorder="1" applyAlignment="1">
      <alignment horizontal="center" vertical="center"/>
    </xf>
    <xf numFmtId="41" fontId="14" fillId="24" borderId="9" xfId="18" applyNumberFormat="1" applyFont="1" applyFill="1" applyBorder="1" applyAlignment="1">
      <alignment horizontal="center"/>
    </xf>
    <xf numFmtId="41" fontId="14" fillId="0" borderId="13" xfId="0" applyNumberFormat="1" applyFont="1" applyBorder="1" applyAlignment="1">
      <alignment horizontal="right" vertical="center"/>
    </xf>
    <xf numFmtId="41" fontId="32" fillId="0" borderId="0" xfId="18" applyNumberFormat="1" applyFont="1" applyAlignment="1">
      <alignment horizontal="center"/>
    </xf>
    <xf numFmtId="41" fontId="17" fillId="0" borderId="4" xfId="20" applyFont="1" applyBorder="1" applyAlignment="1">
      <alignment horizontal="center" vertical="center"/>
    </xf>
    <xf numFmtId="0" fontId="17" fillId="27" borderId="4" xfId="18" applyFont="1" applyFill="1" applyBorder="1" applyAlignment="1">
      <alignment horizontal="center" vertical="center"/>
    </xf>
    <xf numFmtId="0" fontId="26" fillId="27" borderId="4" xfId="18" applyFont="1" applyFill="1" applyBorder="1" applyAlignment="1">
      <alignment horizontal="center" vertical="center"/>
    </xf>
    <xf numFmtId="41" fontId="14" fillId="0" borderId="10" xfId="18" applyNumberFormat="1" applyFont="1" applyBorder="1" applyAlignment="1">
      <alignment horizontal="center" vertical="center"/>
    </xf>
    <xf numFmtId="41" fontId="14" fillId="0" borderId="1" xfId="20" applyFont="1" applyBorder="1" applyAlignment="1">
      <alignment horizontal="right" vertical="center"/>
    </xf>
    <xf numFmtId="41" fontId="14" fillId="0" borderId="15" xfId="20" applyFont="1" applyBorder="1" applyAlignment="1">
      <alignment horizontal="right" vertical="center"/>
    </xf>
    <xf numFmtId="41" fontId="14" fillId="0" borderId="7" xfId="20" applyFont="1" applyBorder="1" applyAlignment="1">
      <alignment horizontal="right" vertical="center"/>
    </xf>
    <xf numFmtId="41" fontId="14" fillId="0" borderId="4" xfId="20" applyFont="1" applyBorder="1" applyAlignment="1">
      <alignment horizontal="right" vertical="center"/>
    </xf>
    <xf numFmtId="41" fontId="14" fillId="0" borderId="4" xfId="20" applyFont="1" applyFill="1" applyBorder="1" applyAlignment="1">
      <alignment horizontal="right" vertical="center"/>
    </xf>
    <xf numFmtId="41" fontId="30" fillId="0" borderId="7" xfId="14" applyFont="1" applyBorder="1" applyAlignment="1">
      <alignment horizontal="right" vertical="center"/>
    </xf>
    <xf numFmtId="41" fontId="13" fillId="8" borderId="18" xfId="18" applyNumberFormat="1" applyFont="1" applyFill="1" applyBorder="1" applyAlignment="1">
      <alignment horizontal="center"/>
    </xf>
    <xf numFmtId="41" fontId="13" fillId="8" borderId="2" xfId="18" applyNumberFormat="1" applyFont="1" applyFill="1" applyBorder="1" applyAlignment="1">
      <alignment horizontal="center"/>
    </xf>
    <xf numFmtId="41" fontId="13" fillId="8" borderId="12" xfId="18" applyNumberFormat="1" applyFont="1" applyFill="1" applyBorder="1" applyAlignment="1">
      <alignment horizontal="center"/>
    </xf>
    <xf numFmtId="41" fontId="14" fillId="0" borderId="14" xfId="18" applyNumberFormat="1" applyFont="1" applyBorder="1" applyAlignment="1">
      <alignment horizontal="center" vertical="center"/>
    </xf>
    <xf numFmtId="41" fontId="14" fillId="0" borderId="1" xfId="18" applyNumberFormat="1" applyFont="1" applyBorder="1" applyAlignment="1">
      <alignment horizontal="center" vertical="center"/>
    </xf>
    <xf numFmtId="41" fontId="14" fillId="0" borderId="15" xfId="18" applyNumberFormat="1" applyFont="1" applyBorder="1" applyAlignment="1">
      <alignment horizontal="center" vertical="center"/>
    </xf>
    <xf numFmtId="41" fontId="13" fillId="16" borderId="18" xfId="18" applyNumberFormat="1" applyFont="1" applyFill="1" applyBorder="1" applyAlignment="1">
      <alignment horizontal="center" vertical="center"/>
    </xf>
    <xf numFmtId="41" fontId="13" fillId="16" borderId="12" xfId="18" applyNumberFormat="1" applyFont="1" applyFill="1" applyBorder="1" applyAlignment="1">
      <alignment horizontal="center" vertical="center"/>
    </xf>
    <xf numFmtId="41" fontId="13" fillId="4" borderId="18" xfId="18" applyNumberFormat="1" applyFont="1" applyFill="1" applyBorder="1" applyAlignment="1">
      <alignment horizontal="center"/>
    </xf>
    <xf numFmtId="41" fontId="13" fillId="4" borderId="2" xfId="18" applyNumberFormat="1" applyFont="1" applyFill="1" applyBorder="1" applyAlignment="1">
      <alignment horizontal="center"/>
    </xf>
    <xf numFmtId="41" fontId="13" fillId="4" borderId="12" xfId="18" applyNumberFormat="1" applyFont="1" applyFill="1" applyBorder="1" applyAlignment="1">
      <alignment horizontal="center"/>
    </xf>
    <xf numFmtId="41" fontId="13" fillId="25" borderId="18" xfId="18" applyNumberFormat="1" applyFont="1" applyFill="1" applyBorder="1" applyAlignment="1">
      <alignment horizontal="center"/>
    </xf>
    <xf numFmtId="41" fontId="13" fillId="25" borderId="2" xfId="18" applyNumberFormat="1" applyFont="1" applyFill="1" applyBorder="1" applyAlignment="1">
      <alignment horizontal="center"/>
    </xf>
    <xf numFmtId="41" fontId="13" fillId="25" borderId="12" xfId="18" applyNumberFormat="1" applyFont="1" applyFill="1" applyBorder="1" applyAlignment="1">
      <alignment horizontal="center"/>
    </xf>
    <xf numFmtId="41" fontId="13" fillId="23" borderId="27" xfId="18" applyNumberFormat="1" applyFont="1" applyFill="1" applyBorder="1" applyAlignment="1">
      <alignment horizontal="center"/>
    </xf>
    <xf numFmtId="41" fontId="13" fillId="23" borderId="16" xfId="18" applyNumberFormat="1" applyFont="1" applyFill="1" applyBorder="1" applyAlignment="1">
      <alignment horizontal="center"/>
    </xf>
    <xf numFmtId="41" fontId="13" fillId="23" borderId="19" xfId="18" applyNumberFormat="1" applyFont="1" applyFill="1" applyBorder="1" applyAlignment="1">
      <alignment horizontal="center"/>
    </xf>
    <xf numFmtId="41" fontId="31" fillId="20" borderId="18" xfId="18" applyNumberFormat="1" applyFont="1" applyFill="1" applyBorder="1" applyAlignment="1">
      <alignment horizontal="center"/>
    </xf>
    <xf numFmtId="41" fontId="31" fillId="20" borderId="2" xfId="18" applyNumberFormat="1" applyFont="1" applyFill="1" applyBorder="1" applyAlignment="1">
      <alignment horizontal="center"/>
    </xf>
    <xf numFmtId="41" fontId="31" fillId="20" borderId="12" xfId="18" applyNumberFormat="1" applyFont="1" applyFill="1" applyBorder="1" applyAlignment="1">
      <alignment horizontal="center"/>
    </xf>
    <xf numFmtId="41" fontId="13" fillId="13" borderId="18" xfId="18" applyNumberFormat="1" applyFont="1" applyFill="1" applyBorder="1" applyAlignment="1">
      <alignment horizontal="center"/>
    </xf>
    <xf numFmtId="41" fontId="13" fillId="13" borderId="2" xfId="18" applyNumberFormat="1" applyFont="1" applyFill="1" applyBorder="1" applyAlignment="1">
      <alignment horizontal="center"/>
    </xf>
    <xf numFmtId="41" fontId="13" fillId="13" borderId="12" xfId="18" applyNumberFormat="1" applyFont="1" applyFill="1" applyBorder="1" applyAlignment="1">
      <alignment horizontal="center"/>
    </xf>
    <xf numFmtId="41" fontId="13" fillId="7" borderId="18" xfId="18" applyNumberFormat="1" applyFont="1" applyFill="1" applyBorder="1" applyAlignment="1">
      <alignment horizontal="center"/>
    </xf>
    <xf numFmtId="41" fontId="13" fillId="7" borderId="2" xfId="18" applyNumberFormat="1" applyFont="1" applyFill="1" applyBorder="1" applyAlignment="1">
      <alignment horizontal="center"/>
    </xf>
    <xf numFmtId="41" fontId="13" fillId="7" borderId="12" xfId="18" applyNumberFormat="1" applyFont="1" applyFill="1" applyBorder="1" applyAlignment="1">
      <alignment horizontal="center"/>
    </xf>
    <xf numFmtId="41" fontId="13" fillId="22" borderId="18" xfId="18" applyNumberFormat="1" applyFont="1" applyFill="1" applyBorder="1" applyAlignment="1">
      <alignment horizontal="center"/>
    </xf>
    <xf numFmtId="41" fontId="13" fillId="22" borderId="2" xfId="18" applyNumberFormat="1" applyFont="1" applyFill="1" applyBorder="1" applyAlignment="1">
      <alignment horizontal="center"/>
    </xf>
    <xf numFmtId="41" fontId="13" fillId="22" borderId="12" xfId="18" applyNumberFormat="1" applyFont="1" applyFill="1" applyBorder="1" applyAlignment="1">
      <alignment horizontal="center"/>
    </xf>
    <xf numFmtId="41" fontId="13" fillId="9" borderId="18" xfId="18" applyNumberFormat="1" applyFont="1" applyFill="1" applyBorder="1" applyAlignment="1">
      <alignment horizontal="center"/>
    </xf>
    <xf numFmtId="41" fontId="13" fillId="9" borderId="2" xfId="18" applyNumberFormat="1" applyFont="1" applyFill="1" applyBorder="1" applyAlignment="1">
      <alignment horizontal="center"/>
    </xf>
    <xf numFmtId="41" fontId="13" fillId="9" borderId="12" xfId="18" applyNumberFormat="1" applyFont="1" applyFill="1" applyBorder="1" applyAlignment="1">
      <alignment horizontal="center"/>
    </xf>
    <xf numFmtId="41" fontId="13" fillId="10" borderId="18" xfId="18" applyNumberFormat="1" applyFont="1" applyFill="1" applyBorder="1" applyAlignment="1">
      <alignment horizontal="center"/>
    </xf>
    <xf numFmtId="41" fontId="13" fillId="10" borderId="2" xfId="18" applyNumberFormat="1" applyFont="1" applyFill="1" applyBorder="1" applyAlignment="1">
      <alignment horizontal="center"/>
    </xf>
    <xf numFmtId="41" fontId="13" fillId="10" borderId="12" xfId="18" applyNumberFormat="1" applyFont="1" applyFill="1" applyBorder="1" applyAlignment="1">
      <alignment horizontal="center"/>
    </xf>
    <xf numFmtId="41" fontId="13" fillId="23" borderId="22" xfId="18" applyNumberFormat="1" applyFont="1" applyFill="1" applyBorder="1" applyAlignment="1">
      <alignment horizontal="center"/>
    </xf>
    <xf numFmtId="41" fontId="13" fillId="23" borderId="23" xfId="18" applyNumberFormat="1" applyFont="1" applyFill="1" applyBorder="1" applyAlignment="1">
      <alignment horizontal="center"/>
    </xf>
    <xf numFmtId="41" fontId="13" fillId="23" borderId="24" xfId="18" applyNumberFormat="1" applyFont="1" applyFill="1" applyBorder="1" applyAlignment="1">
      <alignment horizontal="center"/>
    </xf>
    <xf numFmtId="41" fontId="13" fillId="15" borderId="22" xfId="18" applyNumberFormat="1" applyFont="1" applyFill="1" applyBorder="1" applyAlignment="1">
      <alignment horizontal="center"/>
    </xf>
    <xf numFmtId="41" fontId="13" fillId="15" borderId="23" xfId="18" applyNumberFormat="1" applyFont="1" applyFill="1" applyBorder="1" applyAlignment="1">
      <alignment horizontal="center"/>
    </xf>
    <xf numFmtId="41" fontId="13" fillId="15" borderId="24" xfId="18" applyNumberFormat="1" applyFont="1" applyFill="1" applyBorder="1" applyAlignment="1">
      <alignment horizontal="center"/>
    </xf>
    <xf numFmtId="41" fontId="13" fillId="15" borderId="18" xfId="18" applyNumberFormat="1" applyFont="1" applyFill="1" applyBorder="1" applyAlignment="1">
      <alignment horizontal="center"/>
    </xf>
    <xf numFmtId="41" fontId="13" fillId="15" borderId="2" xfId="18" applyNumberFormat="1" applyFont="1" applyFill="1" applyBorder="1" applyAlignment="1">
      <alignment horizontal="center"/>
    </xf>
    <xf numFmtId="41" fontId="13" fillId="15" borderId="12" xfId="18" applyNumberFormat="1" applyFont="1" applyFill="1" applyBorder="1" applyAlignment="1">
      <alignment horizontal="center"/>
    </xf>
    <xf numFmtId="0" fontId="17" fillId="0" borderId="6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6" xfId="18" applyFont="1" applyBorder="1" applyAlignment="1">
      <alignment horizontal="center" vertical="center"/>
    </xf>
    <xf numFmtId="0" fontId="17" fillId="0" borderId="10" xfId="18" applyFont="1" applyBorder="1" applyAlignment="1">
      <alignment horizontal="center" vertical="center"/>
    </xf>
    <xf numFmtId="0" fontId="17" fillId="0" borderId="7" xfId="18" applyFont="1" applyBorder="1" applyAlignment="1">
      <alignment horizontal="center" vertical="center"/>
    </xf>
    <xf numFmtId="0" fontId="17" fillId="16" borderId="18" xfId="0" applyFont="1" applyFill="1" applyBorder="1" applyAlignment="1">
      <alignment horizontal="center" vertical="center"/>
    </xf>
    <xf numFmtId="0" fontId="17" fillId="16" borderId="2" xfId="0" applyFont="1" applyFill="1" applyBorder="1" applyAlignment="1">
      <alignment horizontal="center" vertical="center"/>
    </xf>
    <xf numFmtId="0" fontId="17" fillId="16" borderId="12" xfId="0" applyFont="1" applyFill="1" applyBorder="1" applyAlignment="1">
      <alignment horizontal="center" vertical="center"/>
    </xf>
    <xf numFmtId="0" fontId="21" fillId="26" borderId="4" xfId="0" applyFont="1" applyFill="1" applyBorder="1" applyAlignment="1">
      <alignment horizontal="center" vertical="center"/>
    </xf>
    <xf numFmtId="0" fontId="28" fillId="26" borderId="6" xfId="0" applyFont="1" applyFill="1" applyBorder="1" applyAlignment="1">
      <alignment horizontal="center" vertical="center" wrapText="1"/>
    </xf>
    <xf numFmtId="0" fontId="28" fillId="26" borderId="10" xfId="0" applyFont="1" applyFill="1" applyBorder="1" applyAlignment="1">
      <alignment horizontal="center" vertical="center"/>
    </xf>
    <xf numFmtId="0" fontId="28" fillId="26" borderId="7" xfId="0" applyFont="1" applyFill="1" applyBorder="1" applyAlignment="1">
      <alignment horizontal="center" vertical="center"/>
    </xf>
    <xf numFmtId="0" fontId="26" fillId="10" borderId="18" xfId="14" applyNumberFormat="1" applyFont="1" applyFill="1" applyBorder="1" applyAlignment="1">
      <alignment horizontal="center" vertical="center"/>
    </xf>
    <xf numFmtId="0" fontId="26" fillId="10" borderId="2" xfId="14" applyNumberFormat="1" applyFont="1" applyFill="1" applyBorder="1" applyAlignment="1">
      <alignment horizontal="center" vertical="center"/>
    </xf>
    <xf numFmtId="0" fontId="26" fillId="10" borderId="12" xfId="14" applyNumberFormat="1" applyFont="1" applyFill="1" applyBorder="1" applyAlignment="1">
      <alignment horizontal="center" vertical="center"/>
    </xf>
    <xf numFmtId="0" fontId="26" fillId="18" borderId="18" xfId="14" applyNumberFormat="1" applyFont="1" applyFill="1" applyBorder="1" applyAlignment="1">
      <alignment horizontal="center" vertical="center"/>
    </xf>
    <xf numFmtId="0" fontId="26" fillId="18" borderId="12" xfId="14" applyNumberFormat="1" applyFont="1" applyFill="1" applyBorder="1" applyAlignment="1">
      <alignment horizontal="center" vertical="center"/>
    </xf>
    <xf numFmtId="177" fontId="21" fillId="26" borderId="4" xfId="14" applyNumberFormat="1" applyFont="1" applyFill="1" applyBorder="1" applyAlignment="1">
      <alignment horizontal="center" vertical="center"/>
    </xf>
    <xf numFmtId="177" fontId="23" fillId="26" borderId="4" xfId="14" applyNumberFormat="1" applyFont="1" applyFill="1" applyBorder="1" applyAlignment="1">
      <alignment horizontal="center" vertical="center"/>
    </xf>
    <xf numFmtId="0" fontId="22" fillId="26" borderId="4" xfId="18" applyFont="1" applyFill="1" applyBorder="1" applyAlignment="1">
      <alignment horizontal="center" vertical="center"/>
    </xf>
    <xf numFmtId="0" fontId="28" fillId="26" borderId="6" xfId="14" applyNumberFormat="1" applyFont="1" applyFill="1" applyBorder="1" applyAlignment="1">
      <alignment horizontal="center" vertical="center" wrapText="1"/>
    </xf>
    <xf numFmtId="0" fontId="28" fillId="26" borderId="7" xfId="14" applyNumberFormat="1" applyFont="1" applyFill="1" applyBorder="1" applyAlignment="1">
      <alignment horizontal="center" vertical="center"/>
    </xf>
    <xf numFmtId="0" fontId="21" fillId="26" borderId="4" xfId="18" applyFont="1" applyFill="1" applyBorder="1" applyAlignment="1">
      <alignment horizontal="center" vertical="center"/>
    </xf>
    <xf numFmtId="0" fontId="17" fillId="16" borderId="4" xfId="0" applyFont="1" applyFill="1" applyBorder="1" applyAlignment="1">
      <alignment horizontal="center" vertical="center"/>
    </xf>
    <xf numFmtId="0" fontId="26" fillId="6" borderId="18" xfId="14" applyNumberFormat="1" applyFont="1" applyFill="1" applyBorder="1" applyAlignment="1">
      <alignment horizontal="center" vertical="center"/>
    </xf>
    <xf numFmtId="0" fontId="26" fillId="6" borderId="12" xfId="14" applyNumberFormat="1" applyFont="1" applyFill="1" applyBorder="1" applyAlignment="1">
      <alignment horizontal="center" vertical="center"/>
    </xf>
    <xf numFmtId="0" fontId="17" fillId="0" borderId="4" xfId="19" applyFont="1" applyBorder="1" applyAlignment="1">
      <alignment horizontal="center" vertical="center"/>
    </xf>
    <xf numFmtId="0" fontId="21" fillId="26" borderId="4" xfId="19" applyFont="1" applyFill="1" applyBorder="1" applyAlignment="1">
      <alignment horizontal="center" vertical="center"/>
    </xf>
    <xf numFmtId="0" fontId="21" fillId="26" borderId="6" xfId="0" applyFont="1" applyFill="1" applyBorder="1" applyAlignment="1">
      <alignment horizontal="center" vertical="center"/>
    </xf>
    <xf numFmtId="0" fontId="21" fillId="26" borderId="7" xfId="0" applyFont="1" applyFill="1" applyBorder="1" applyAlignment="1">
      <alignment horizontal="center" vertical="center"/>
    </xf>
    <xf numFmtId="177" fontId="21" fillId="26" borderId="18" xfId="14" applyNumberFormat="1" applyFont="1" applyFill="1" applyBorder="1" applyAlignment="1">
      <alignment horizontal="center" vertical="center"/>
    </xf>
    <xf numFmtId="177" fontId="21" fillId="26" borderId="12" xfId="14" applyNumberFormat="1" applyFont="1" applyFill="1" applyBorder="1" applyAlignment="1">
      <alignment horizontal="center" vertical="center"/>
    </xf>
    <xf numFmtId="0" fontId="26" fillId="16" borderId="2" xfId="0" applyFont="1" applyFill="1" applyBorder="1" applyAlignment="1">
      <alignment horizontal="right" vertical="center"/>
    </xf>
    <xf numFmtId="0" fontId="26" fillId="10" borderId="25" xfId="14" applyNumberFormat="1" applyFont="1" applyFill="1" applyBorder="1" applyAlignment="1">
      <alignment horizontal="center" vertical="center"/>
    </xf>
    <xf numFmtId="0" fontId="26" fillId="10" borderId="5" xfId="14" applyNumberFormat="1" applyFont="1" applyFill="1" applyBorder="1" applyAlignment="1">
      <alignment horizontal="center" vertical="center"/>
    </xf>
    <xf numFmtId="0" fontId="26" fillId="10" borderId="26" xfId="14" applyNumberFormat="1" applyFont="1" applyFill="1" applyBorder="1" applyAlignment="1">
      <alignment horizontal="center" vertical="center"/>
    </xf>
    <xf numFmtId="0" fontId="26" fillId="6" borderId="4" xfId="14" applyNumberFormat="1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/>
    </xf>
    <xf numFmtId="0" fontId="22" fillId="2" borderId="4" xfId="18" applyFont="1" applyFill="1" applyBorder="1" applyAlignment="1">
      <alignment horizontal="center" vertical="center"/>
    </xf>
    <xf numFmtId="0" fontId="21" fillId="2" borderId="6" xfId="0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</cellXfs>
  <cellStyles count="21">
    <cellStyle name="Comma [0]_laroux" xfId="1" xr:uid="{00000000-0005-0000-0000-000000000000}"/>
    <cellStyle name="Comma_laroux" xfId="2" xr:uid="{00000000-0005-0000-0000-000001000000}"/>
    <cellStyle name="Currency [0]_laroux" xfId="3" xr:uid="{00000000-0005-0000-0000-000002000000}"/>
    <cellStyle name="Currency_laroux" xfId="4" xr:uid="{00000000-0005-0000-0000-000003000000}"/>
    <cellStyle name="DSValue" xfId="5" xr:uid="{00000000-0005-0000-0000-000004000000}"/>
    <cellStyle name="Header1" xfId="6" xr:uid="{00000000-0005-0000-0000-000005000000}"/>
    <cellStyle name="Header2" xfId="7" xr:uid="{00000000-0005-0000-0000-000006000000}"/>
    <cellStyle name="Normal - 유형1" xfId="8" xr:uid="{00000000-0005-0000-0000-000007000000}"/>
    <cellStyle name="Normal_Certs Q2" xfId="9" xr:uid="{00000000-0005-0000-0000-000008000000}"/>
    <cellStyle name="string" xfId="10" xr:uid="{00000000-0005-0000-0000-000009000000}"/>
    <cellStyle name="unit" xfId="11" xr:uid="{00000000-0005-0000-0000-00000A000000}"/>
    <cellStyle name="Обычный_Units" xfId="12" xr:uid="{00000000-0005-0000-0000-00000B000000}"/>
    <cellStyle name="백분율" xfId="13" builtinId="5"/>
    <cellStyle name="쉼표 [0]" xfId="14" builtinId="6"/>
    <cellStyle name="쉼표 [0] 2 3" xfId="20" xr:uid="{D2975D87-47D0-4AE7-B7F0-ABDFD611781E}"/>
    <cellStyle name="지정되지 않음" xfId="15" xr:uid="{00000000-0005-0000-0000-00000E000000}"/>
    <cellStyle name="콤마 [0]_가설물" xfId="16" xr:uid="{00000000-0005-0000-0000-00000F000000}"/>
    <cellStyle name="콤마_가설물" xfId="17" xr:uid="{00000000-0005-0000-0000-000010000000}"/>
    <cellStyle name="표준" xfId="0" builtinId="0"/>
    <cellStyle name="표준_근린생활시설 장비선정(E.H.P)" xfId="18" xr:uid="{00000000-0005-0000-0000-000012000000}"/>
    <cellStyle name="표준_근린생활시설 장비선정(E.H.P)_OO도서관 지열 장비선정표" xfId="19" xr:uid="{00000000-0005-0000-0000-000013000000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54364;&#51456;&#46020;&#47732;\2011&#45380;%20&#49444;&#44228;%20&#51088;&#47308;\&#51109;&#48708;&#49440;&#51221;&#54364;%20&#47784;&#51020;(&#49569;&#48512;-GHP%20&#54252;&#54632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G제품"/>
      <sheetName val="Multi V Super 3"/>
      <sheetName val="eco-V"/>
      <sheetName val="Mini"/>
      <sheetName val="Water2"/>
      <sheetName val="Hybrid XEO"/>
      <sheetName val="Space3"/>
      <sheetName val="Sync2"/>
      <sheetName val="All in 1"/>
      <sheetName val="중대형"/>
      <sheetName val="싱글"/>
      <sheetName val="항온항습기"/>
      <sheetName val="공조기"/>
      <sheetName val="장비선정표 모음(송부-GHP 포함)"/>
      <sheetName val="wall"/>
      <sheetName val="Front"/>
      <sheetName val="서산일위대가수정분010603"/>
      <sheetName val="정렬"/>
    </sheetNames>
    <sheetDataSet>
      <sheetData sheetId="0">
        <row r="3">
          <cell r="A3" t="str">
            <v>LRD-N207CA/S</v>
          </cell>
        </row>
        <row r="77">
          <cell r="A77" t="str">
            <v>LCTH-030AU</v>
          </cell>
        </row>
        <row r="78">
          <cell r="A78" t="str">
            <v>LCTH-050AU</v>
          </cell>
        </row>
        <row r="79">
          <cell r="A79" t="str">
            <v>LCTH-075AU</v>
          </cell>
        </row>
        <row r="80">
          <cell r="A80" t="str">
            <v>LCTH-100AU</v>
          </cell>
        </row>
        <row r="81">
          <cell r="A81" t="str">
            <v>LCTH-150AU</v>
          </cell>
        </row>
        <row r="82">
          <cell r="A82" t="str">
            <v>LCTH-200AU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  <wetp:taskpane dockstate="right" visibility="0" width="350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3AE07AD1-7EEF-4B7F-9029-864416E60BD0}">
  <we:reference id="wa200010725" version="1.0.0.1" store="ko-KR" storeType="OMEX"/>
  <we:alternateReferences>
    <we:reference id="WA200010725" version="1.0.0.1" store="" storeType="OMEX"/>
  </we:alternateReferences>
  <we:properties>
    <we:property name="claude.fileId" value="&quot;0ff8c5ad-590d-401c-adf3-ac2e3ef36c8b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50F7CBE2-7CB3-44DE-8C9E-FD28E6BCF87C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87c96dc-d410-419d-807b-476c25a5538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8"/>
    <pageSetUpPr autoPageBreaks="0"/>
  </sheetPr>
  <dimension ref="A1:AB283"/>
  <sheetViews>
    <sheetView showGridLines="0" tabSelected="1" zoomScale="110" zoomScaleNormal="110" zoomScaleSheetLayoutView="100" workbookViewId="0">
      <selection activeCell="X22" sqref="X22"/>
    </sheetView>
  </sheetViews>
  <sheetFormatPr defaultColWidth="10.77734375" defaultRowHeight="11.25"/>
  <cols>
    <col min="1" max="1" width="14.109375" style="113" customWidth="1"/>
    <col min="2" max="3" width="7.33203125" style="153" customWidth="1"/>
    <col min="4" max="4" width="1.5546875" style="112" customWidth="1"/>
    <col min="5" max="5" width="10.77734375" style="113" customWidth="1"/>
    <col min="6" max="7" width="7.33203125" style="153" customWidth="1"/>
    <col min="8" max="8" width="1.5546875" style="112" customWidth="1"/>
    <col min="9" max="9" width="10.77734375" style="113" customWidth="1"/>
    <col min="10" max="11" width="7.33203125" style="142" customWidth="1"/>
    <col min="12" max="12" width="1.5546875" style="113" customWidth="1"/>
    <col min="13" max="13" width="10.77734375" style="113" customWidth="1"/>
    <col min="14" max="15" width="7.33203125" style="142" customWidth="1"/>
    <col min="16" max="16" width="1.5546875" style="113" customWidth="1"/>
    <col min="17" max="17" width="10.77734375" style="113" customWidth="1"/>
    <col min="18" max="19" width="7.33203125" style="142" customWidth="1"/>
    <col min="20" max="20" width="2.109375" style="114" customWidth="1"/>
    <col min="21" max="21" width="2.109375" style="115" customWidth="1"/>
    <col min="22" max="22" width="10.77734375" style="113" customWidth="1"/>
    <col min="23" max="24" width="7.33203125" style="164" customWidth="1"/>
    <col min="25" max="25" width="1.6640625" style="113" customWidth="1"/>
    <col min="26" max="26" width="10.77734375" style="113" customWidth="1"/>
    <col min="27" max="28" width="7.44140625" style="113" customWidth="1"/>
    <col min="29" max="16384" width="10.77734375" style="113"/>
  </cols>
  <sheetData>
    <row r="1" spans="1:28">
      <c r="A1" s="276" t="s">
        <v>215</v>
      </c>
      <c r="B1" s="277"/>
      <c r="C1" s="278"/>
      <c r="E1" s="276" t="s">
        <v>216</v>
      </c>
      <c r="F1" s="277"/>
      <c r="G1" s="278"/>
      <c r="I1" s="282" t="s">
        <v>217</v>
      </c>
      <c r="J1" s="283"/>
      <c r="K1" s="284"/>
      <c r="M1" s="285" t="s">
        <v>1136</v>
      </c>
      <c r="N1" s="286"/>
      <c r="O1" s="287"/>
      <c r="Q1" s="285" t="s">
        <v>1137</v>
      </c>
      <c r="R1" s="286"/>
      <c r="S1" s="287"/>
      <c r="V1" s="270" t="s">
        <v>955</v>
      </c>
      <c r="W1" s="271"/>
      <c r="X1" s="272"/>
      <c r="Y1" s="242"/>
      <c r="Z1" s="270" t="s">
        <v>954</v>
      </c>
      <c r="AA1" s="271"/>
      <c r="AB1" s="272"/>
    </row>
    <row r="2" spans="1:28" ht="12" thickBot="1">
      <c r="A2" s="116" t="s">
        <v>103</v>
      </c>
      <c r="B2" s="116" t="s">
        <v>104</v>
      </c>
      <c r="C2" s="116" t="s">
        <v>25</v>
      </c>
      <c r="E2" s="117" t="s">
        <v>103</v>
      </c>
      <c r="F2" s="117" t="s">
        <v>104</v>
      </c>
      <c r="G2" s="117" t="s">
        <v>25</v>
      </c>
      <c r="I2" s="118" t="s">
        <v>103</v>
      </c>
      <c r="J2" s="118" t="s">
        <v>104</v>
      </c>
      <c r="K2" s="118" t="s">
        <v>25</v>
      </c>
      <c r="M2" s="119" t="s">
        <v>84</v>
      </c>
      <c r="N2" s="119" t="s">
        <v>104</v>
      </c>
      <c r="O2" s="119" t="s">
        <v>25</v>
      </c>
      <c r="Q2" s="119" t="s">
        <v>84</v>
      </c>
      <c r="R2" s="119" t="s">
        <v>104</v>
      </c>
      <c r="S2" s="119" t="s">
        <v>25</v>
      </c>
      <c r="V2" s="163" t="s">
        <v>84</v>
      </c>
      <c r="W2" s="163" t="s">
        <v>104</v>
      </c>
      <c r="X2" s="163" t="s">
        <v>965</v>
      </c>
      <c r="Z2" s="163" t="s">
        <v>103</v>
      </c>
      <c r="AA2" s="163" t="s">
        <v>104</v>
      </c>
      <c r="AB2" s="163" t="s">
        <v>966</v>
      </c>
    </row>
    <row r="3" spans="1:28" ht="12" thickBot="1">
      <c r="A3" s="120" t="s">
        <v>300</v>
      </c>
      <c r="B3" s="87">
        <v>2000</v>
      </c>
      <c r="C3" s="87">
        <v>2200</v>
      </c>
      <c r="E3" s="229" t="s">
        <v>779</v>
      </c>
      <c r="F3" s="121"/>
      <c r="G3" s="96"/>
      <c r="I3" s="122" t="s">
        <v>621</v>
      </c>
      <c r="J3" s="94">
        <v>11000</v>
      </c>
      <c r="K3" s="94">
        <v>0</v>
      </c>
      <c r="M3" s="229" t="s">
        <v>299</v>
      </c>
      <c r="N3" s="121"/>
      <c r="O3" s="96"/>
      <c r="Q3" s="229" t="s">
        <v>1085</v>
      </c>
      <c r="R3" s="121"/>
      <c r="S3" s="96"/>
      <c r="V3" s="120" t="s">
        <v>467</v>
      </c>
      <c r="W3" s="87">
        <v>2000</v>
      </c>
      <c r="X3" s="87">
        <v>2200</v>
      </c>
      <c r="Z3" s="229" t="s">
        <v>956</v>
      </c>
      <c r="AA3" s="121"/>
      <c r="AB3" s="96"/>
    </row>
    <row r="4" spans="1:28">
      <c r="A4" s="120" t="s">
        <v>94</v>
      </c>
      <c r="B4" s="87">
        <v>2300</v>
      </c>
      <c r="C4" s="87">
        <v>2600</v>
      </c>
      <c r="E4" s="123" t="s">
        <v>758</v>
      </c>
      <c r="F4" s="101">
        <v>23300</v>
      </c>
      <c r="G4" s="101">
        <v>25900</v>
      </c>
      <c r="I4" s="122" t="s">
        <v>622</v>
      </c>
      <c r="J4" s="94">
        <v>14500</v>
      </c>
      <c r="K4" s="94">
        <v>0</v>
      </c>
      <c r="M4" s="120" t="s">
        <v>1138</v>
      </c>
      <c r="N4" s="87">
        <v>2000</v>
      </c>
      <c r="O4" s="94">
        <v>0</v>
      </c>
      <c r="Q4" s="135" t="s">
        <v>1181</v>
      </c>
      <c r="R4" s="100">
        <v>7200</v>
      </c>
      <c r="S4" s="100">
        <v>0</v>
      </c>
      <c r="V4" s="120" t="s">
        <v>452</v>
      </c>
      <c r="W4" s="87">
        <v>2300</v>
      </c>
      <c r="X4" s="87">
        <v>2600</v>
      </c>
      <c r="Z4" s="123" t="s">
        <v>958</v>
      </c>
      <c r="AA4" s="101">
        <v>22400</v>
      </c>
      <c r="AB4" s="101">
        <v>25200</v>
      </c>
    </row>
    <row r="5" spans="1:28">
      <c r="A5" s="120" t="s">
        <v>301</v>
      </c>
      <c r="B5" s="87">
        <v>3200</v>
      </c>
      <c r="C5" s="87">
        <v>3600</v>
      </c>
      <c r="E5" s="123" t="s">
        <v>759</v>
      </c>
      <c r="F5" s="94">
        <v>29200</v>
      </c>
      <c r="G5" s="94">
        <v>32800</v>
      </c>
      <c r="I5" s="122" t="s">
        <v>623</v>
      </c>
      <c r="J5" s="94">
        <v>17000</v>
      </c>
      <c r="K5" s="94">
        <v>0</v>
      </c>
      <c r="M5" s="120" t="s">
        <v>1139</v>
      </c>
      <c r="N5" s="87">
        <v>2300</v>
      </c>
      <c r="O5" s="94">
        <v>0</v>
      </c>
      <c r="Q5" s="246" t="s">
        <v>1183</v>
      </c>
      <c r="R5" s="101">
        <v>9200</v>
      </c>
      <c r="S5" s="101">
        <v>0</v>
      </c>
      <c r="V5" s="120" t="s">
        <v>453</v>
      </c>
      <c r="W5" s="87">
        <v>3200</v>
      </c>
      <c r="X5" s="87">
        <v>3600</v>
      </c>
      <c r="Z5" s="122" t="s">
        <v>960</v>
      </c>
      <c r="AA5" s="94">
        <v>28000</v>
      </c>
      <c r="AB5" s="94">
        <v>31500</v>
      </c>
    </row>
    <row r="6" spans="1:28">
      <c r="A6" s="120" t="s">
        <v>194</v>
      </c>
      <c r="B6" s="124">
        <v>4000</v>
      </c>
      <c r="C6" s="124">
        <v>4500</v>
      </c>
      <c r="E6" s="123" t="s">
        <v>760</v>
      </c>
      <c r="F6" s="94">
        <v>34800</v>
      </c>
      <c r="G6" s="94">
        <v>39200</v>
      </c>
      <c r="I6" s="122" t="s">
        <v>630</v>
      </c>
      <c r="J6" s="94">
        <v>23000</v>
      </c>
      <c r="K6" s="94">
        <v>0</v>
      </c>
      <c r="M6" s="120" t="s">
        <v>1140</v>
      </c>
      <c r="N6" s="87">
        <v>3200</v>
      </c>
      <c r="O6" s="94">
        <v>0</v>
      </c>
      <c r="Q6" s="122" t="s">
        <v>1185</v>
      </c>
      <c r="R6" s="94">
        <v>11000</v>
      </c>
      <c r="S6" s="94">
        <v>0</v>
      </c>
      <c r="V6" s="120" t="s">
        <v>454</v>
      </c>
      <c r="W6" s="124">
        <v>4000</v>
      </c>
      <c r="X6" s="124">
        <v>4500</v>
      </c>
      <c r="Z6" s="122" t="s">
        <v>962</v>
      </c>
      <c r="AA6" s="86">
        <v>33600</v>
      </c>
      <c r="AB6" s="86">
        <v>37800</v>
      </c>
    </row>
    <row r="7" spans="1:28" ht="12" thickBot="1">
      <c r="A7" s="125" t="s">
        <v>302</v>
      </c>
      <c r="B7" s="87">
        <v>5200</v>
      </c>
      <c r="C7" s="87">
        <v>5900</v>
      </c>
      <c r="E7" s="123" t="s">
        <v>761</v>
      </c>
      <c r="F7" s="94">
        <v>40600</v>
      </c>
      <c r="G7" s="94">
        <v>45700</v>
      </c>
      <c r="I7" s="137" t="s">
        <v>631</v>
      </c>
      <c r="J7" s="95">
        <v>29000</v>
      </c>
      <c r="K7" s="95">
        <v>0</v>
      </c>
      <c r="M7" s="120" t="s">
        <v>1141</v>
      </c>
      <c r="N7" s="126">
        <v>4000</v>
      </c>
      <c r="O7" s="235">
        <v>0</v>
      </c>
      <c r="Q7" s="236" t="s">
        <v>1187</v>
      </c>
      <c r="R7" s="145">
        <v>14500</v>
      </c>
      <c r="S7" s="145">
        <v>0</v>
      </c>
      <c r="V7" s="125" t="s">
        <v>455</v>
      </c>
      <c r="W7" s="87">
        <v>5200</v>
      </c>
      <c r="X7" s="87">
        <v>5900</v>
      </c>
      <c r="Z7" s="122" t="s">
        <v>964</v>
      </c>
      <c r="AA7" s="86">
        <v>56000</v>
      </c>
      <c r="AB7" s="86">
        <v>63000</v>
      </c>
    </row>
    <row r="8" spans="1:28" ht="12" thickBot="1">
      <c r="A8" s="125" t="s">
        <v>303</v>
      </c>
      <c r="B8" s="87">
        <v>6000</v>
      </c>
      <c r="C8" s="87">
        <v>6800</v>
      </c>
      <c r="E8" s="123" t="s">
        <v>762</v>
      </c>
      <c r="F8" s="94">
        <v>46400</v>
      </c>
      <c r="G8" s="94">
        <v>52200</v>
      </c>
      <c r="I8" s="135" t="s">
        <v>838</v>
      </c>
      <c r="J8" s="100">
        <v>11000</v>
      </c>
      <c r="K8" s="100">
        <v>12400</v>
      </c>
      <c r="M8" s="120" t="s">
        <v>1142</v>
      </c>
      <c r="N8" s="87">
        <v>5200</v>
      </c>
      <c r="O8" s="87">
        <v>0</v>
      </c>
      <c r="Q8" s="138"/>
      <c r="R8" s="130"/>
      <c r="S8" s="139"/>
      <c r="V8" s="125" t="s">
        <v>456</v>
      </c>
      <c r="W8" s="87">
        <v>6000</v>
      </c>
      <c r="X8" s="87">
        <v>6800</v>
      </c>
      <c r="Z8" s="229" t="s">
        <v>967</v>
      </c>
      <c r="AA8" s="121"/>
      <c r="AB8" s="96"/>
    </row>
    <row r="9" spans="1:28" ht="12" thickBot="1">
      <c r="A9" s="125" t="s">
        <v>356</v>
      </c>
      <c r="B9" s="124">
        <v>7200</v>
      </c>
      <c r="C9" s="124">
        <v>7200</v>
      </c>
      <c r="E9" s="123" t="s">
        <v>763</v>
      </c>
      <c r="F9" s="94">
        <v>52200</v>
      </c>
      <c r="G9" s="94">
        <v>58700</v>
      </c>
      <c r="I9" s="122" t="s">
        <v>839</v>
      </c>
      <c r="J9" s="94">
        <v>14500</v>
      </c>
      <c r="K9" s="94">
        <v>16300</v>
      </c>
      <c r="M9" s="120" t="s">
        <v>1143</v>
      </c>
      <c r="N9" s="87">
        <v>6000</v>
      </c>
      <c r="O9" s="87">
        <v>0</v>
      </c>
      <c r="Q9" s="294" t="s">
        <v>220</v>
      </c>
      <c r="R9" s="295"/>
      <c r="S9" s="296"/>
      <c r="V9" s="125" t="s">
        <v>457</v>
      </c>
      <c r="W9" s="87">
        <v>7200</v>
      </c>
      <c r="X9" s="87">
        <v>7200</v>
      </c>
      <c r="Z9" s="122" t="s">
        <v>486</v>
      </c>
      <c r="AA9" s="86">
        <v>55800</v>
      </c>
      <c r="AB9" s="86">
        <v>55500</v>
      </c>
    </row>
    <row r="10" spans="1:28" ht="12" thickBot="1">
      <c r="A10" s="127" t="s">
        <v>1193</v>
      </c>
      <c r="B10" s="93">
        <v>2000</v>
      </c>
      <c r="C10" s="93">
        <v>2200</v>
      </c>
      <c r="E10" s="123" t="s">
        <v>764</v>
      </c>
      <c r="F10" s="94">
        <v>57000</v>
      </c>
      <c r="G10" s="94">
        <v>63000</v>
      </c>
      <c r="I10" s="137" t="s">
        <v>840</v>
      </c>
      <c r="J10" s="95">
        <v>16000</v>
      </c>
      <c r="K10" s="95">
        <v>18000</v>
      </c>
      <c r="M10" s="128" t="s">
        <v>1144</v>
      </c>
      <c r="N10" s="97">
        <v>7200</v>
      </c>
      <c r="O10" s="97">
        <v>0</v>
      </c>
      <c r="Q10" s="140" t="s">
        <v>84</v>
      </c>
      <c r="R10" s="140" t="s">
        <v>104</v>
      </c>
      <c r="S10" s="140" t="s">
        <v>25</v>
      </c>
      <c r="V10" s="127" t="s">
        <v>448</v>
      </c>
      <c r="W10" s="93">
        <v>5200</v>
      </c>
      <c r="X10" s="93">
        <v>5900</v>
      </c>
      <c r="Z10" s="122" t="s">
        <v>1241</v>
      </c>
      <c r="AA10" s="251">
        <v>66400</v>
      </c>
      <c r="AB10" s="251">
        <v>68000</v>
      </c>
    </row>
    <row r="11" spans="1:28" ht="12" thickBot="1">
      <c r="A11" s="120" t="s">
        <v>1194</v>
      </c>
      <c r="B11" s="87">
        <v>2300</v>
      </c>
      <c r="C11" s="87">
        <v>2600</v>
      </c>
      <c r="E11" s="123" t="s">
        <v>765</v>
      </c>
      <c r="F11" s="94">
        <v>64000</v>
      </c>
      <c r="G11" s="94">
        <v>72000</v>
      </c>
      <c r="I11" s="135" t="s">
        <v>841</v>
      </c>
      <c r="J11" s="100">
        <v>11000</v>
      </c>
      <c r="K11" s="100">
        <v>12400</v>
      </c>
      <c r="M11" s="229" t="s">
        <v>821</v>
      </c>
      <c r="N11" s="121"/>
      <c r="O11" s="96"/>
      <c r="Q11" s="229" t="s">
        <v>671</v>
      </c>
      <c r="R11" s="121"/>
      <c r="S11" s="96"/>
      <c r="V11" s="120" t="s">
        <v>449</v>
      </c>
      <c r="W11" s="87">
        <v>6000</v>
      </c>
      <c r="X11" s="87">
        <v>6800</v>
      </c>
      <c r="Z11" s="236" t="s">
        <v>595</v>
      </c>
      <c r="AA11" s="148">
        <v>71400</v>
      </c>
      <c r="AB11" s="148">
        <v>73600</v>
      </c>
    </row>
    <row r="12" spans="1:28" ht="12" thickBot="1">
      <c r="A12" s="120" t="s">
        <v>1195</v>
      </c>
      <c r="B12" s="87">
        <v>3200</v>
      </c>
      <c r="C12" s="87">
        <v>3600</v>
      </c>
      <c r="E12" s="123" t="s">
        <v>766</v>
      </c>
      <c r="F12" s="94">
        <v>69600</v>
      </c>
      <c r="G12" s="94">
        <v>78400</v>
      </c>
      <c r="I12" s="122" t="s">
        <v>842</v>
      </c>
      <c r="J12" s="94">
        <v>14500</v>
      </c>
      <c r="K12" s="94">
        <v>16300</v>
      </c>
      <c r="M12" s="120" t="s">
        <v>1145</v>
      </c>
      <c r="N12" s="87">
        <v>1200</v>
      </c>
      <c r="O12" s="94">
        <v>0</v>
      </c>
      <c r="Q12" s="123" t="s">
        <v>1081</v>
      </c>
      <c r="R12" s="101">
        <v>5200</v>
      </c>
      <c r="S12" s="101">
        <v>6000</v>
      </c>
      <c r="V12" s="128" t="s">
        <v>450</v>
      </c>
      <c r="W12" s="97">
        <v>7200</v>
      </c>
      <c r="X12" s="97">
        <v>8100</v>
      </c>
    </row>
    <row r="13" spans="1:28">
      <c r="A13" s="120" t="s">
        <v>1196</v>
      </c>
      <c r="B13" s="124">
        <v>4000</v>
      </c>
      <c r="C13" s="124">
        <v>4500</v>
      </c>
      <c r="E13" s="123" t="s">
        <v>767</v>
      </c>
      <c r="F13" s="94">
        <v>75400</v>
      </c>
      <c r="G13" s="94">
        <v>84900</v>
      </c>
      <c r="I13" s="122" t="s">
        <v>843</v>
      </c>
      <c r="J13" s="94">
        <v>16000</v>
      </c>
      <c r="K13" s="94">
        <v>18000</v>
      </c>
      <c r="M13" s="120" t="s">
        <v>1146</v>
      </c>
      <c r="N13" s="87">
        <v>1600</v>
      </c>
      <c r="O13" s="94">
        <v>0</v>
      </c>
      <c r="Q13" s="123" t="s">
        <v>1082</v>
      </c>
      <c r="R13" s="101">
        <v>6000</v>
      </c>
      <c r="S13" s="101">
        <v>7200</v>
      </c>
      <c r="V13" s="131" t="s">
        <v>304</v>
      </c>
      <c r="W13" s="93">
        <v>2300</v>
      </c>
      <c r="X13" s="93">
        <v>2600</v>
      </c>
    </row>
    <row r="14" spans="1:28">
      <c r="A14" s="125" t="s">
        <v>1197</v>
      </c>
      <c r="B14" s="87">
        <v>5200</v>
      </c>
      <c r="C14" s="87">
        <v>5900</v>
      </c>
      <c r="E14" s="123" t="s">
        <v>768</v>
      </c>
      <c r="F14" s="94">
        <v>81200</v>
      </c>
      <c r="G14" s="94">
        <v>91400</v>
      </c>
      <c r="I14" s="122" t="s">
        <v>632</v>
      </c>
      <c r="J14" s="94">
        <v>22400</v>
      </c>
      <c r="K14" s="94">
        <v>25200</v>
      </c>
      <c r="M14" s="120" t="s">
        <v>1147</v>
      </c>
      <c r="N14" s="87">
        <v>2000</v>
      </c>
      <c r="O14" s="94">
        <v>0</v>
      </c>
      <c r="Q14" s="123" t="s">
        <v>1083</v>
      </c>
      <c r="R14" s="101">
        <v>7200</v>
      </c>
      <c r="S14" s="101">
        <v>8500</v>
      </c>
      <c r="V14" s="125" t="s">
        <v>305</v>
      </c>
      <c r="W14" s="124">
        <v>3200</v>
      </c>
      <c r="X14" s="124">
        <v>3600</v>
      </c>
    </row>
    <row r="15" spans="1:28">
      <c r="A15" s="125" t="s">
        <v>1198</v>
      </c>
      <c r="B15" s="87">
        <v>6000</v>
      </c>
      <c r="C15" s="87">
        <v>6800</v>
      </c>
      <c r="E15" s="123" t="s">
        <v>769</v>
      </c>
      <c r="F15" s="94">
        <v>87000</v>
      </c>
      <c r="G15" s="94">
        <v>97900</v>
      </c>
      <c r="I15" s="122" t="s">
        <v>633</v>
      </c>
      <c r="J15" s="94">
        <v>28000</v>
      </c>
      <c r="K15" s="94">
        <v>31500</v>
      </c>
      <c r="M15" s="120" t="s">
        <v>1148</v>
      </c>
      <c r="N15" s="87">
        <v>2300</v>
      </c>
      <c r="O15" s="94">
        <v>0</v>
      </c>
      <c r="Q15" s="123" t="s">
        <v>1084</v>
      </c>
      <c r="R15" s="101">
        <v>8300</v>
      </c>
      <c r="S15" s="101">
        <v>9200</v>
      </c>
      <c r="V15" s="125" t="s">
        <v>616</v>
      </c>
      <c r="W15" s="87">
        <v>4000</v>
      </c>
      <c r="X15" s="87">
        <v>4500</v>
      </c>
    </row>
    <row r="16" spans="1:28" ht="12" thickBot="1">
      <c r="A16" s="125" t="s">
        <v>1199</v>
      </c>
      <c r="B16" s="87">
        <v>7200</v>
      </c>
      <c r="C16" s="87">
        <v>7200</v>
      </c>
      <c r="E16" s="123" t="s">
        <v>770</v>
      </c>
      <c r="F16" s="94">
        <v>91800</v>
      </c>
      <c r="G16" s="94">
        <v>102200</v>
      </c>
      <c r="I16" s="122" t="s">
        <v>634</v>
      </c>
      <c r="J16" s="94">
        <v>33600</v>
      </c>
      <c r="K16" s="94">
        <v>37800</v>
      </c>
      <c r="M16" s="120" t="s">
        <v>1149</v>
      </c>
      <c r="N16" s="87">
        <v>2000</v>
      </c>
      <c r="O16" s="94">
        <v>0</v>
      </c>
      <c r="Q16" s="123" t="s">
        <v>1189</v>
      </c>
      <c r="R16" s="101">
        <v>11000</v>
      </c>
      <c r="S16" s="101">
        <v>13200</v>
      </c>
      <c r="V16" s="120" t="s">
        <v>458</v>
      </c>
      <c r="W16" s="87">
        <v>4000</v>
      </c>
      <c r="X16" s="87">
        <v>4500</v>
      </c>
    </row>
    <row r="17" spans="1:24" ht="12" thickBot="1">
      <c r="A17" s="127" t="s">
        <v>212</v>
      </c>
      <c r="B17" s="93">
        <v>5200</v>
      </c>
      <c r="C17" s="93">
        <v>5900</v>
      </c>
      <c r="E17" s="123" t="s">
        <v>771</v>
      </c>
      <c r="F17" s="94">
        <v>97600</v>
      </c>
      <c r="G17" s="94">
        <v>108700</v>
      </c>
      <c r="I17" s="229" t="s">
        <v>734</v>
      </c>
      <c r="J17" s="121"/>
      <c r="K17" s="96"/>
      <c r="M17" s="120" t="s">
        <v>1150</v>
      </c>
      <c r="N17" s="87">
        <v>2300</v>
      </c>
      <c r="O17" s="94">
        <v>0</v>
      </c>
      <c r="Q17" s="123" t="s">
        <v>1191</v>
      </c>
      <c r="R17" s="101">
        <v>11000</v>
      </c>
      <c r="S17" s="101">
        <v>13200</v>
      </c>
      <c r="V17" s="131" t="s">
        <v>459</v>
      </c>
      <c r="W17" s="132">
        <v>5200</v>
      </c>
      <c r="X17" s="132">
        <v>5900</v>
      </c>
    </row>
    <row r="18" spans="1:24">
      <c r="A18" s="120" t="s">
        <v>213</v>
      </c>
      <c r="B18" s="87">
        <v>6000</v>
      </c>
      <c r="C18" s="87">
        <v>6800</v>
      </c>
      <c r="E18" s="123" t="s">
        <v>772</v>
      </c>
      <c r="F18" s="94">
        <v>103400</v>
      </c>
      <c r="G18" s="94">
        <v>115200</v>
      </c>
      <c r="I18" s="135" t="s">
        <v>735</v>
      </c>
      <c r="J18" s="100">
        <v>11000</v>
      </c>
      <c r="K18" s="100">
        <v>12400</v>
      </c>
      <c r="M18" s="120" t="s">
        <v>1151</v>
      </c>
      <c r="N18" s="87">
        <v>3200</v>
      </c>
      <c r="O18" s="94">
        <v>0</v>
      </c>
      <c r="Q18" s="123" t="s">
        <v>1190</v>
      </c>
      <c r="R18" s="101">
        <v>13000</v>
      </c>
      <c r="S18" s="101">
        <v>15000</v>
      </c>
      <c r="V18" s="131" t="s">
        <v>460</v>
      </c>
      <c r="W18" s="132">
        <v>6000</v>
      </c>
      <c r="X18" s="132">
        <v>6800</v>
      </c>
    </row>
    <row r="19" spans="1:24" ht="12" thickBot="1">
      <c r="A19" s="128" t="s">
        <v>214</v>
      </c>
      <c r="B19" s="97">
        <v>7200</v>
      </c>
      <c r="C19" s="97">
        <v>8100</v>
      </c>
      <c r="E19" s="123" t="s">
        <v>773</v>
      </c>
      <c r="F19" s="94">
        <v>109200</v>
      </c>
      <c r="G19" s="94">
        <v>121700</v>
      </c>
      <c r="I19" s="122" t="s">
        <v>739</v>
      </c>
      <c r="J19" s="94">
        <v>14500</v>
      </c>
      <c r="K19" s="94">
        <v>16300</v>
      </c>
      <c r="M19" s="120" t="s">
        <v>1152</v>
      </c>
      <c r="N19" s="126">
        <v>4000</v>
      </c>
      <c r="O19" s="235">
        <v>0</v>
      </c>
      <c r="Q19" s="123" t="s">
        <v>1192</v>
      </c>
      <c r="R19" s="101">
        <v>13000</v>
      </c>
      <c r="S19" s="101">
        <v>15000</v>
      </c>
      <c r="V19" s="120" t="s">
        <v>461</v>
      </c>
      <c r="W19" s="87">
        <v>7200</v>
      </c>
      <c r="X19" s="87">
        <v>8100</v>
      </c>
    </row>
    <row r="20" spans="1:24" ht="12" thickBot="1">
      <c r="A20" s="120" t="s">
        <v>304</v>
      </c>
      <c r="B20" s="93">
        <v>2300</v>
      </c>
      <c r="C20" s="93">
        <v>2600</v>
      </c>
      <c r="E20" s="123" t="s">
        <v>774</v>
      </c>
      <c r="F20" s="94">
        <v>114000</v>
      </c>
      <c r="G20" s="94">
        <v>126000</v>
      </c>
      <c r="I20" s="122" t="s">
        <v>740</v>
      </c>
      <c r="J20" s="95">
        <v>16000</v>
      </c>
      <c r="K20" s="95">
        <v>18000</v>
      </c>
      <c r="M20" s="120" t="s">
        <v>1153</v>
      </c>
      <c r="N20" s="87">
        <v>5200</v>
      </c>
      <c r="O20" s="87">
        <v>0</v>
      </c>
      <c r="Q20" s="123" t="s">
        <v>1188</v>
      </c>
      <c r="R20" s="101">
        <v>14500</v>
      </c>
      <c r="S20" s="252">
        <v>16700</v>
      </c>
      <c r="V20" s="120" t="s">
        <v>462</v>
      </c>
      <c r="W20" s="87">
        <v>8300</v>
      </c>
      <c r="X20" s="87">
        <v>9300</v>
      </c>
    </row>
    <row r="21" spans="1:24" ht="12" thickBot="1">
      <c r="A21" s="120" t="s">
        <v>305</v>
      </c>
      <c r="B21" s="87">
        <v>3200</v>
      </c>
      <c r="C21" s="87">
        <v>3600</v>
      </c>
      <c r="E21" s="123" t="s">
        <v>775</v>
      </c>
      <c r="F21" s="94">
        <v>121000</v>
      </c>
      <c r="G21" s="94">
        <v>135000</v>
      </c>
      <c r="I21" s="122" t="s">
        <v>738</v>
      </c>
      <c r="J21" s="94">
        <v>11000</v>
      </c>
      <c r="K21" s="94">
        <v>12400</v>
      </c>
      <c r="M21" s="120" t="s">
        <v>1154</v>
      </c>
      <c r="N21" s="87">
        <v>6000</v>
      </c>
      <c r="O21" s="87">
        <v>0</v>
      </c>
      <c r="Q21" s="229" t="s">
        <v>911</v>
      </c>
      <c r="R21" s="121"/>
      <c r="S21" s="96"/>
      <c r="V21" s="120" t="s">
        <v>463</v>
      </c>
      <c r="W21" s="87">
        <v>10000</v>
      </c>
      <c r="X21" s="87">
        <v>11200</v>
      </c>
    </row>
    <row r="22" spans="1:24" ht="12" thickBot="1">
      <c r="A22" s="120" t="s">
        <v>102</v>
      </c>
      <c r="B22" s="87">
        <v>4000</v>
      </c>
      <c r="C22" s="87">
        <v>4500</v>
      </c>
      <c r="E22" s="123" t="s">
        <v>776</v>
      </c>
      <c r="F22" s="94">
        <v>126600</v>
      </c>
      <c r="G22" s="94">
        <v>141400</v>
      </c>
      <c r="I22" s="122" t="s">
        <v>736</v>
      </c>
      <c r="J22" s="94">
        <v>14500</v>
      </c>
      <c r="K22" s="94">
        <v>16300</v>
      </c>
      <c r="M22" s="128" t="s">
        <v>1155</v>
      </c>
      <c r="N22" s="97">
        <v>7200</v>
      </c>
      <c r="O22" s="97">
        <v>0</v>
      </c>
      <c r="Q22" s="123" t="s">
        <v>624</v>
      </c>
      <c r="R22" s="101">
        <v>5200</v>
      </c>
      <c r="S22" s="101">
        <v>6000</v>
      </c>
      <c r="V22" s="120" t="s">
        <v>464</v>
      </c>
      <c r="W22" s="87">
        <v>11000</v>
      </c>
      <c r="X22" s="87">
        <v>12400</v>
      </c>
    </row>
    <row r="23" spans="1:24" ht="12" thickBot="1">
      <c r="A23" s="120" t="s">
        <v>1059</v>
      </c>
      <c r="B23" s="87">
        <v>5200</v>
      </c>
      <c r="C23" s="87">
        <v>5900</v>
      </c>
      <c r="E23" s="123" t="s">
        <v>777</v>
      </c>
      <c r="F23" s="94">
        <v>133600</v>
      </c>
      <c r="G23" s="94">
        <v>150400</v>
      </c>
      <c r="I23" s="122" t="s">
        <v>737</v>
      </c>
      <c r="J23" s="94">
        <v>16000</v>
      </c>
      <c r="K23" s="94">
        <v>18000</v>
      </c>
      <c r="M23" s="129" t="s">
        <v>281</v>
      </c>
      <c r="N23" s="130"/>
      <c r="O23" s="98"/>
      <c r="Q23" s="123" t="s">
        <v>915</v>
      </c>
      <c r="R23" s="101">
        <v>6000</v>
      </c>
      <c r="S23" s="101">
        <v>7200</v>
      </c>
      <c r="V23" s="120" t="s">
        <v>465</v>
      </c>
      <c r="W23" s="87">
        <v>13000</v>
      </c>
      <c r="X23" s="87">
        <v>14600</v>
      </c>
    </row>
    <row r="24" spans="1:24" ht="12" thickBot="1">
      <c r="A24" s="127" t="s">
        <v>1122</v>
      </c>
      <c r="B24" s="93">
        <v>4000</v>
      </c>
      <c r="C24" s="93">
        <v>4500</v>
      </c>
      <c r="E24" s="123" t="s">
        <v>778</v>
      </c>
      <c r="F24" s="94">
        <v>139200</v>
      </c>
      <c r="G24" s="94">
        <v>156800</v>
      </c>
      <c r="I24" s="282" t="s">
        <v>101</v>
      </c>
      <c r="J24" s="283"/>
      <c r="K24" s="284"/>
      <c r="M24" s="127" t="s">
        <v>1156</v>
      </c>
      <c r="N24" s="93">
        <v>2300</v>
      </c>
      <c r="O24" s="93">
        <v>0</v>
      </c>
      <c r="Q24" s="123" t="s">
        <v>698</v>
      </c>
      <c r="R24" s="101">
        <v>7200</v>
      </c>
      <c r="S24" s="101">
        <v>8500</v>
      </c>
      <c r="V24" s="125" t="s">
        <v>466</v>
      </c>
      <c r="W24" s="124">
        <v>14500</v>
      </c>
      <c r="X24" s="124">
        <v>16300</v>
      </c>
    </row>
    <row r="25" spans="1:24" ht="12" thickBot="1">
      <c r="A25" s="120" t="s">
        <v>1123</v>
      </c>
      <c r="B25" s="87">
        <v>5200</v>
      </c>
      <c r="C25" s="87">
        <v>5900</v>
      </c>
      <c r="E25" s="229" t="s">
        <v>1200</v>
      </c>
      <c r="F25" s="247"/>
      <c r="G25" s="248"/>
      <c r="I25" s="198" t="s">
        <v>84</v>
      </c>
      <c r="J25" s="198" t="s">
        <v>104</v>
      </c>
      <c r="K25" s="198" t="s">
        <v>25</v>
      </c>
      <c r="M25" s="120" t="s">
        <v>1157</v>
      </c>
      <c r="N25" s="87">
        <v>3200</v>
      </c>
      <c r="O25" s="87">
        <v>0</v>
      </c>
      <c r="Q25" s="123" t="s">
        <v>854</v>
      </c>
      <c r="R25" s="101">
        <v>8300</v>
      </c>
      <c r="S25" s="101">
        <v>9200</v>
      </c>
      <c r="V25" s="127" t="s">
        <v>468</v>
      </c>
      <c r="W25" s="93">
        <v>2300</v>
      </c>
      <c r="X25" s="93">
        <v>2600</v>
      </c>
    </row>
    <row r="26" spans="1:24" ht="12" thickBot="1">
      <c r="A26" s="131" t="s">
        <v>1124</v>
      </c>
      <c r="B26" s="132">
        <v>6000</v>
      </c>
      <c r="C26" s="132">
        <v>6800</v>
      </c>
      <c r="E26" s="123" t="s">
        <v>1201</v>
      </c>
      <c r="F26" s="249">
        <v>23300</v>
      </c>
      <c r="G26" s="249">
        <v>25900</v>
      </c>
      <c r="I26" s="229" t="s">
        <v>952</v>
      </c>
      <c r="J26" s="121"/>
      <c r="K26" s="96"/>
      <c r="M26" s="120" t="s">
        <v>1158</v>
      </c>
      <c r="N26" s="87">
        <v>4000</v>
      </c>
      <c r="O26" s="87">
        <v>0</v>
      </c>
      <c r="Q26" s="123" t="s">
        <v>912</v>
      </c>
      <c r="R26" s="101">
        <v>11000</v>
      </c>
      <c r="S26" s="101">
        <v>12400</v>
      </c>
      <c r="V26" s="120" t="s">
        <v>469</v>
      </c>
      <c r="W26" s="87">
        <v>3200</v>
      </c>
      <c r="X26" s="87">
        <v>3600</v>
      </c>
    </row>
    <row r="27" spans="1:24" ht="12" thickBot="1">
      <c r="A27" s="120" t="s">
        <v>1125</v>
      </c>
      <c r="B27" s="87">
        <v>7200</v>
      </c>
      <c r="C27" s="87">
        <v>8100</v>
      </c>
      <c r="E27" s="123" t="s">
        <v>1202</v>
      </c>
      <c r="F27" s="250">
        <v>29200</v>
      </c>
      <c r="G27" s="250">
        <v>32800</v>
      </c>
      <c r="I27" s="122" t="s">
        <v>1167</v>
      </c>
      <c r="J27" s="94">
        <v>7200</v>
      </c>
      <c r="K27" s="94">
        <v>0</v>
      </c>
      <c r="M27" s="128" t="s">
        <v>1159</v>
      </c>
      <c r="N27" s="99">
        <v>5200</v>
      </c>
      <c r="O27" s="99">
        <v>0</v>
      </c>
      <c r="Q27" s="123" t="s">
        <v>916</v>
      </c>
      <c r="R27" s="101">
        <v>11000</v>
      </c>
      <c r="S27" s="101">
        <v>12400</v>
      </c>
      <c r="V27" s="128" t="s">
        <v>470</v>
      </c>
      <c r="W27" s="87">
        <v>4000</v>
      </c>
      <c r="X27" s="87">
        <v>4500</v>
      </c>
    </row>
    <row r="28" spans="1:24">
      <c r="A28" s="120" t="s">
        <v>1126</v>
      </c>
      <c r="B28" s="87">
        <v>8300</v>
      </c>
      <c r="C28" s="87">
        <v>9300</v>
      </c>
      <c r="E28" s="123" t="s">
        <v>1203</v>
      </c>
      <c r="F28" s="250">
        <v>34800</v>
      </c>
      <c r="G28" s="250">
        <v>39200</v>
      </c>
      <c r="I28" s="122" t="s">
        <v>1170</v>
      </c>
      <c r="J28" s="94">
        <v>9200</v>
      </c>
      <c r="K28" s="94">
        <v>0</v>
      </c>
      <c r="M28" s="138"/>
      <c r="N28" s="130"/>
      <c r="O28" s="139"/>
      <c r="Q28" s="123" t="s">
        <v>913</v>
      </c>
      <c r="R28" s="101">
        <v>13000</v>
      </c>
      <c r="S28" s="101">
        <v>15000</v>
      </c>
      <c r="V28" s="127" t="s">
        <v>471</v>
      </c>
      <c r="W28" s="93">
        <v>5200</v>
      </c>
      <c r="X28" s="93">
        <v>5900</v>
      </c>
    </row>
    <row r="29" spans="1:24">
      <c r="A29" s="120" t="s">
        <v>1127</v>
      </c>
      <c r="B29" s="87">
        <v>10000</v>
      </c>
      <c r="C29" s="87">
        <v>11200</v>
      </c>
      <c r="E29" s="123" t="s">
        <v>1204</v>
      </c>
      <c r="F29" s="250">
        <v>40600</v>
      </c>
      <c r="G29" s="250">
        <v>45700</v>
      </c>
      <c r="I29" s="122" t="s">
        <v>1173</v>
      </c>
      <c r="J29" s="94">
        <v>11000</v>
      </c>
      <c r="K29" s="94">
        <v>0</v>
      </c>
      <c r="Q29" s="123" t="s">
        <v>914</v>
      </c>
      <c r="R29" s="101">
        <v>13000</v>
      </c>
      <c r="S29" s="101">
        <v>15000</v>
      </c>
      <c r="V29" s="120" t="s">
        <v>472</v>
      </c>
      <c r="W29" s="87">
        <v>6000</v>
      </c>
      <c r="X29" s="87">
        <v>6800</v>
      </c>
    </row>
    <row r="30" spans="1:24" ht="12" thickBot="1">
      <c r="A30" s="120" t="s">
        <v>1128</v>
      </c>
      <c r="B30" s="87">
        <v>11000</v>
      </c>
      <c r="C30" s="87">
        <v>12400</v>
      </c>
      <c r="E30" s="123" t="s">
        <v>1205</v>
      </c>
      <c r="F30" s="250">
        <v>46400</v>
      </c>
      <c r="G30" s="250">
        <v>52200</v>
      </c>
      <c r="I30" s="122" t="s">
        <v>1176</v>
      </c>
      <c r="J30" s="94">
        <v>14500</v>
      </c>
      <c r="K30" s="94">
        <v>0</v>
      </c>
      <c r="Q30" s="123" t="s">
        <v>917</v>
      </c>
      <c r="R30" s="101">
        <v>14500</v>
      </c>
      <c r="S30" s="101">
        <v>16300</v>
      </c>
      <c r="V30" s="120" t="s">
        <v>473</v>
      </c>
      <c r="W30" s="87">
        <v>7200</v>
      </c>
      <c r="X30" s="87">
        <v>8100</v>
      </c>
    </row>
    <row r="31" spans="1:24" ht="12" thickBot="1">
      <c r="A31" s="120" t="s">
        <v>1129</v>
      </c>
      <c r="B31" s="87">
        <v>13000</v>
      </c>
      <c r="C31" s="87">
        <v>14600</v>
      </c>
      <c r="E31" s="123" t="s">
        <v>1206</v>
      </c>
      <c r="F31" s="250">
        <v>52200</v>
      </c>
      <c r="G31" s="250">
        <v>58700</v>
      </c>
      <c r="I31" s="137" t="s">
        <v>1179</v>
      </c>
      <c r="J31" s="95">
        <v>17000</v>
      </c>
      <c r="K31" s="95">
        <v>0</v>
      </c>
      <c r="Q31" s="229" t="s">
        <v>995</v>
      </c>
      <c r="R31" s="121"/>
      <c r="S31" s="96"/>
      <c r="V31" s="120" t="s">
        <v>474</v>
      </c>
      <c r="W31" s="87">
        <v>8300</v>
      </c>
      <c r="X31" s="87">
        <v>9300</v>
      </c>
    </row>
    <row r="32" spans="1:24" ht="12" thickBot="1">
      <c r="A32" s="125" t="s">
        <v>1130</v>
      </c>
      <c r="B32" s="124">
        <v>14500</v>
      </c>
      <c r="C32" s="124">
        <v>16300</v>
      </c>
      <c r="E32" s="123" t="s">
        <v>1207</v>
      </c>
      <c r="F32" s="250">
        <v>57000</v>
      </c>
      <c r="G32" s="250">
        <v>63000</v>
      </c>
      <c r="I32" s="122" t="s">
        <v>688</v>
      </c>
      <c r="J32" s="94">
        <v>23000</v>
      </c>
      <c r="K32" s="94">
        <v>0</v>
      </c>
      <c r="Q32" s="123" t="s">
        <v>1016</v>
      </c>
      <c r="R32" s="103">
        <v>5200</v>
      </c>
      <c r="S32" s="103">
        <v>6000</v>
      </c>
      <c r="V32" s="120" t="s">
        <v>475</v>
      </c>
      <c r="W32" s="87">
        <v>10000</v>
      </c>
      <c r="X32" s="87">
        <v>11200</v>
      </c>
    </row>
    <row r="33" spans="1:24" ht="12" thickBot="1">
      <c r="A33" s="127" t="s">
        <v>221</v>
      </c>
      <c r="B33" s="93">
        <v>2300</v>
      </c>
      <c r="C33" s="93">
        <v>2600</v>
      </c>
      <c r="E33" s="123" t="s">
        <v>1208</v>
      </c>
      <c r="F33" s="250">
        <v>64000</v>
      </c>
      <c r="G33" s="250">
        <v>72000</v>
      </c>
      <c r="I33" s="122" t="s">
        <v>689</v>
      </c>
      <c r="J33" s="94">
        <v>29000</v>
      </c>
      <c r="K33" s="94">
        <v>0</v>
      </c>
      <c r="Q33" s="123" t="s">
        <v>1018</v>
      </c>
      <c r="R33" s="103">
        <v>6000</v>
      </c>
      <c r="S33" s="103">
        <v>7200</v>
      </c>
      <c r="V33" s="120" t="s">
        <v>476</v>
      </c>
      <c r="W33" s="87">
        <v>11000</v>
      </c>
      <c r="X33" s="87">
        <v>12400</v>
      </c>
    </row>
    <row r="34" spans="1:24" ht="12" thickBot="1">
      <c r="A34" s="120" t="s">
        <v>28</v>
      </c>
      <c r="B34" s="87">
        <v>3200</v>
      </c>
      <c r="C34" s="87">
        <v>3600</v>
      </c>
      <c r="E34" s="123" t="s">
        <v>1209</v>
      </c>
      <c r="F34" s="250">
        <v>69600</v>
      </c>
      <c r="G34" s="250">
        <v>78400</v>
      </c>
      <c r="I34" s="229" t="s">
        <v>953</v>
      </c>
      <c r="J34" s="121"/>
      <c r="K34" s="96"/>
      <c r="Q34" s="123" t="s">
        <v>1021</v>
      </c>
      <c r="R34" s="103">
        <v>7200</v>
      </c>
      <c r="S34" s="103">
        <v>8500</v>
      </c>
      <c r="V34" s="120" t="s">
        <v>477</v>
      </c>
      <c r="W34" s="87">
        <v>13000</v>
      </c>
      <c r="X34" s="87">
        <v>14600</v>
      </c>
    </row>
    <row r="35" spans="1:24" ht="12" thickBot="1">
      <c r="A35" s="125" t="s">
        <v>29</v>
      </c>
      <c r="B35" s="124">
        <v>4000</v>
      </c>
      <c r="C35" s="124">
        <v>4500</v>
      </c>
      <c r="E35" s="123" t="s">
        <v>1210</v>
      </c>
      <c r="F35" s="250">
        <v>75400</v>
      </c>
      <c r="G35" s="250">
        <v>84900</v>
      </c>
      <c r="I35" s="135" t="s">
        <v>1165</v>
      </c>
      <c r="J35" s="100">
        <v>7200</v>
      </c>
      <c r="K35" s="100">
        <v>0</v>
      </c>
      <c r="Q35" s="122" t="s">
        <v>1022</v>
      </c>
      <c r="R35" s="86">
        <v>8300</v>
      </c>
      <c r="S35" s="86">
        <v>9200</v>
      </c>
      <c r="V35" s="120" t="s">
        <v>478</v>
      </c>
      <c r="W35" s="124">
        <v>14500</v>
      </c>
      <c r="X35" s="124">
        <v>16300</v>
      </c>
    </row>
    <row r="36" spans="1:24">
      <c r="A36" s="127" t="s">
        <v>706</v>
      </c>
      <c r="B36" s="93">
        <v>5200</v>
      </c>
      <c r="C36" s="93">
        <v>6000</v>
      </c>
      <c r="E36" s="123" t="s">
        <v>1211</v>
      </c>
      <c r="F36" s="250">
        <v>81200</v>
      </c>
      <c r="G36" s="250">
        <v>91400</v>
      </c>
      <c r="I36" s="122" t="s">
        <v>1168</v>
      </c>
      <c r="J36" s="94">
        <v>9200</v>
      </c>
      <c r="K36" s="94">
        <v>0</v>
      </c>
      <c r="Q36" s="122" t="s">
        <v>1024</v>
      </c>
      <c r="R36" s="86">
        <v>11000</v>
      </c>
      <c r="S36" s="86">
        <v>12400</v>
      </c>
      <c r="V36" s="120" t="s">
        <v>479</v>
      </c>
      <c r="W36" s="87">
        <v>23000</v>
      </c>
      <c r="X36" s="87">
        <v>25900</v>
      </c>
    </row>
    <row r="37" spans="1:24" ht="12" thickBot="1">
      <c r="A37" s="120" t="s">
        <v>707</v>
      </c>
      <c r="B37" s="87">
        <v>6000</v>
      </c>
      <c r="C37" s="87">
        <v>6800</v>
      </c>
      <c r="E37" s="123" t="s">
        <v>1212</v>
      </c>
      <c r="F37" s="250">
        <v>87000</v>
      </c>
      <c r="G37" s="250">
        <v>97900</v>
      </c>
      <c r="I37" s="122" t="s">
        <v>1171</v>
      </c>
      <c r="J37" s="94">
        <v>11000</v>
      </c>
      <c r="K37" s="94">
        <v>0</v>
      </c>
      <c r="Q37" s="122" t="s">
        <v>1026</v>
      </c>
      <c r="R37" s="86">
        <v>11000</v>
      </c>
      <c r="S37" s="86">
        <v>12400</v>
      </c>
      <c r="V37" s="125" t="s">
        <v>480</v>
      </c>
      <c r="W37" s="124">
        <v>29000</v>
      </c>
      <c r="X37" s="124">
        <v>32600</v>
      </c>
    </row>
    <row r="38" spans="1:24">
      <c r="A38" s="125" t="s">
        <v>708</v>
      </c>
      <c r="B38" s="124">
        <v>7200</v>
      </c>
      <c r="C38" s="124">
        <v>8000</v>
      </c>
      <c r="E38" s="123" t="s">
        <v>1213</v>
      </c>
      <c r="F38" s="250">
        <v>91800</v>
      </c>
      <c r="G38" s="250">
        <v>102200</v>
      </c>
      <c r="I38" s="122" t="s">
        <v>1174</v>
      </c>
      <c r="J38" s="94">
        <v>14500</v>
      </c>
      <c r="K38" s="94">
        <v>0</v>
      </c>
      <c r="Q38" s="122" t="s">
        <v>1028</v>
      </c>
      <c r="R38" s="86">
        <v>13000</v>
      </c>
      <c r="S38" s="86">
        <v>15000</v>
      </c>
      <c r="V38" s="127" t="s">
        <v>635</v>
      </c>
      <c r="W38" s="93">
        <v>2300</v>
      </c>
      <c r="X38" s="93">
        <v>2600</v>
      </c>
    </row>
    <row r="39" spans="1:24" ht="12" thickBot="1">
      <c r="A39" s="120" t="s">
        <v>527</v>
      </c>
      <c r="B39" s="87">
        <v>8300</v>
      </c>
      <c r="C39" s="87">
        <v>9300</v>
      </c>
      <c r="E39" s="123" t="s">
        <v>1214</v>
      </c>
      <c r="F39" s="250">
        <v>97600</v>
      </c>
      <c r="G39" s="250">
        <v>108700</v>
      </c>
      <c r="I39" s="236" t="s">
        <v>1177</v>
      </c>
      <c r="J39" s="145">
        <v>17000</v>
      </c>
      <c r="K39" s="145">
        <v>0</v>
      </c>
      <c r="Q39" s="122" t="s">
        <v>1030</v>
      </c>
      <c r="R39" s="86">
        <v>13000</v>
      </c>
      <c r="S39" s="86">
        <v>15000</v>
      </c>
      <c r="V39" s="120" t="s">
        <v>639</v>
      </c>
      <c r="W39" s="87">
        <v>3200</v>
      </c>
      <c r="X39" s="87">
        <v>3600</v>
      </c>
    </row>
    <row r="40" spans="1:24">
      <c r="A40" s="120" t="s">
        <v>528</v>
      </c>
      <c r="B40" s="87">
        <v>10000</v>
      </c>
      <c r="C40" s="87">
        <v>11200</v>
      </c>
      <c r="E40" s="123" t="s">
        <v>1215</v>
      </c>
      <c r="F40" s="250">
        <v>103400</v>
      </c>
      <c r="G40" s="250">
        <v>115200</v>
      </c>
      <c r="I40" s="133"/>
      <c r="J40" s="134"/>
      <c r="K40" s="134"/>
      <c r="Q40" s="122" t="s">
        <v>1032</v>
      </c>
      <c r="R40" s="86">
        <v>14500</v>
      </c>
      <c r="S40" s="86">
        <v>16300</v>
      </c>
      <c r="V40" s="120" t="s">
        <v>640</v>
      </c>
      <c r="W40" s="87">
        <v>4000</v>
      </c>
      <c r="X40" s="87">
        <v>4500</v>
      </c>
    </row>
    <row r="41" spans="1:24">
      <c r="A41" s="120" t="s">
        <v>529</v>
      </c>
      <c r="B41" s="87">
        <v>11000</v>
      </c>
      <c r="C41" s="87">
        <v>12400</v>
      </c>
      <c r="E41" s="123" t="s">
        <v>1216</v>
      </c>
      <c r="F41" s="250">
        <v>109200</v>
      </c>
      <c r="G41" s="250">
        <v>121700</v>
      </c>
      <c r="I41" s="273" t="s">
        <v>970</v>
      </c>
      <c r="J41" s="274"/>
      <c r="K41" s="275"/>
      <c r="Q41" s="122" t="s">
        <v>1033</v>
      </c>
      <c r="R41" s="86">
        <v>23000</v>
      </c>
      <c r="S41" s="86">
        <v>26000</v>
      </c>
      <c r="V41" s="120" t="s">
        <v>636</v>
      </c>
      <c r="W41" s="87">
        <v>5200</v>
      </c>
      <c r="X41" s="87">
        <v>5900</v>
      </c>
    </row>
    <row r="42" spans="1:24" ht="12" thickBot="1">
      <c r="A42" s="120" t="s">
        <v>530</v>
      </c>
      <c r="B42" s="87">
        <v>13000</v>
      </c>
      <c r="C42" s="87">
        <v>14600</v>
      </c>
      <c r="E42" s="123" t="s">
        <v>1217</v>
      </c>
      <c r="F42" s="250">
        <v>114000</v>
      </c>
      <c r="G42" s="250">
        <v>126000</v>
      </c>
      <c r="I42" s="136" t="s">
        <v>103</v>
      </c>
      <c r="J42" s="136" t="s">
        <v>104</v>
      </c>
      <c r="K42" s="136" t="s">
        <v>25</v>
      </c>
      <c r="Q42" s="122" t="s">
        <v>1034</v>
      </c>
      <c r="R42" s="86">
        <v>29000</v>
      </c>
      <c r="S42" s="86">
        <v>33000</v>
      </c>
      <c r="V42" s="120" t="s">
        <v>637</v>
      </c>
      <c r="W42" s="87">
        <v>6000</v>
      </c>
      <c r="X42" s="87">
        <v>6800</v>
      </c>
    </row>
    <row r="43" spans="1:24" ht="12" thickBot="1">
      <c r="A43" s="125" t="s">
        <v>531</v>
      </c>
      <c r="B43" s="124">
        <v>14500</v>
      </c>
      <c r="C43" s="124">
        <v>16300</v>
      </c>
      <c r="E43" s="123" t="s">
        <v>1218</v>
      </c>
      <c r="F43" s="250">
        <v>121800</v>
      </c>
      <c r="G43" s="250">
        <v>137100</v>
      </c>
      <c r="I43" s="122" t="s">
        <v>957</v>
      </c>
      <c r="J43" s="101">
        <v>22400</v>
      </c>
      <c r="K43" s="101">
        <v>25200</v>
      </c>
      <c r="Q43" s="229" t="s">
        <v>918</v>
      </c>
      <c r="R43" s="144"/>
      <c r="S43" s="102"/>
      <c r="V43" s="128" t="s">
        <v>638</v>
      </c>
      <c r="W43" s="97">
        <v>7200</v>
      </c>
      <c r="X43" s="97">
        <v>8100</v>
      </c>
    </row>
    <row r="44" spans="1:24">
      <c r="A44" s="127" t="s">
        <v>30</v>
      </c>
      <c r="B44" s="93">
        <v>23000</v>
      </c>
      <c r="C44" s="93">
        <v>25900</v>
      </c>
      <c r="E44" s="123" t="s">
        <v>1219</v>
      </c>
      <c r="F44" s="250">
        <v>126600</v>
      </c>
      <c r="G44" s="250">
        <v>141400</v>
      </c>
      <c r="I44" s="122" t="s">
        <v>959</v>
      </c>
      <c r="J44" s="94">
        <v>28000</v>
      </c>
      <c r="K44" s="94">
        <v>31500</v>
      </c>
      <c r="Q44" s="122" t="s">
        <v>919</v>
      </c>
      <c r="R44" s="86">
        <v>9000</v>
      </c>
      <c r="S44" s="86">
        <v>0</v>
      </c>
      <c r="V44" s="127" t="s">
        <v>481</v>
      </c>
      <c r="W44" s="132">
        <v>2300</v>
      </c>
      <c r="X44" s="132">
        <v>2600</v>
      </c>
    </row>
    <row r="45" spans="1:24" ht="12" thickBot="1">
      <c r="A45" s="125" t="s">
        <v>234</v>
      </c>
      <c r="B45" s="124">
        <v>29000</v>
      </c>
      <c r="C45" s="124">
        <v>32600</v>
      </c>
      <c r="E45" s="123" t="s">
        <v>1220</v>
      </c>
      <c r="F45" s="250">
        <v>132400</v>
      </c>
      <c r="G45" s="250">
        <v>147900</v>
      </c>
      <c r="I45" s="122" t="s">
        <v>961</v>
      </c>
      <c r="J45" s="94">
        <v>33600</v>
      </c>
      <c r="K45" s="94">
        <v>37800</v>
      </c>
      <c r="Q45" s="122" t="s">
        <v>920</v>
      </c>
      <c r="R45" s="86">
        <v>11000</v>
      </c>
      <c r="S45" s="86">
        <v>0</v>
      </c>
      <c r="V45" s="120" t="s">
        <v>482</v>
      </c>
      <c r="W45" s="87">
        <v>3200</v>
      </c>
      <c r="X45" s="87">
        <v>3600</v>
      </c>
    </row>
    <row r="46" spans="1:24" ht="12" thickBot="1">
      <c r="A46" s="127" t="s">
        <v>235</v>
      </c>
      <c r="B46" s="93">
        <v>2300</v>
      </c>
      <c r="C46" s="93">
        <v>2600</v>
      </c>
      <c r="E46" s="123" t="s">
        <v>1221</v>
      </c>
      <c r="F46" s="250">
        <v>138200</v>
      </c>
      <c r="G46" s="250">
        <v>154400</v>
      </c>
      <c r="I46" s="122" t="s">
        <v>963</v>
      </c>
      <c r="J46" s="94">
        <v>56000</v>
      </c>
      <c r="K46" s="94">
        <v>63000</v>
      </c>
      <c r="Q46" s="122" t="s">
        <v>921</v>
      </c>
      <c r="R46" s="86">
        <v>14500</v>
      </c>
      <c r="S46" s="86">
        <v>0</v>
      </c>
      <c r="V46" s="120" t="s">
        <v>483</v>
      </c>
      <c r="W46" s="87">
        <v>4000</v>
      </c>
      <c r="X46" s="87">
        <v>4500</v>
      </c>
    </row>
    <row r="47" spans="1:24" ht="12" thickBot="1">
      <c r="A47" s="120" t="s">
        <v>236</v>
      </c>
      <c r="B47" s="87">
        <v>3200</v>
      </c>
      <c r="C47" s="87">
        <v>3600</v>
      </c>
      <c r="E47" s="229" t="s">
        <v>522</v>
      </c>
      <c r="F47" s="121"/>
      <c r="G47" s="96"/>
      <c r="I47" s="122" t="s">
        <v>971</v>
      </c>
      <c r="J47" s="94">
        <v>44800</v>
      </c>
      <c r="K47" s="94">
        <v>50400</v>
      </c>
      <c r="Q47" s="122" t="s">
        <v>697</v>
      </c>
      <c r="R47" s="86">
        <v>23000</v>
      </c>
      <c r="S47" s="86">
        <v>0</v>
      </c>
      <c r="V47" s="128" t="s">
        <v>484</v>
      </c>
      <c r="W47" s="97">
        <v>5200</v>
      </c>
      <c r="X47" s="97">
        <v>5900</v>
      </c>
    </row>
    <row r="48" spans="1:24">
      <c r="A48" s="120" t="s">
        <v>237</v>
      </c>
      <c r="B48" s="87">
        <v>4000</v>
      </c>
      <c r="C48" s="87">
        <v>4500</v>
      </c>
      <c r="E48" s="123" t="s">
        <v>573</v>
      </c>
      <c r="F48" s="101">
        <v>23300</v>
      </c>
      <c r="G48" s="101">
        <v>25900</v>
      </c>
      <c r="I48" s="122" t="s">
        <v>972</v>
      </c>
      <c r="J48" s="94">
        <v>50400</v>
      </c>
      <c r="K48" s="94">
        <v>56700</v>
      </c>
      <c r="Q48" s="122" t="s">
        <v>701</v>
      </c>
      <c r="R48" s="86">
        <v>29000</v>
      </c>
      <c r="S48" s="86">
        <v>0</v>
      </c>
      <c r="V48" s="125" t="s">
        <v>451</v>
      </c>
      <c r="W48" s="241">
        <v>14500</v>
      </c>
      <c r="X48" s="241">
        <v>16300</v>
      </c>
    </row>
    <row r="49" spans="1:24" ht="12" thickBot="1">
      <c r="A49" s="120" t="s">
        <v>238</v>
      </c>
      <c r="B49" s="87">
        <v>5200</v>
      </c>
      <c r="C49" s="87">
        <v>5900</v>
      </c>
      <c r="E49" s="123" t="s">
        <v>574</v>
      </c>
      <c r="F49" s="94">
        <v>29200</v>
      </c>
      <c r="G49" s="94">
        <v>32800</v>
      </c>
      <c r="I49" s="122" t="s">
        <v>973</v>
      </c>
      <c r="J49" s="94">
        <v>61600</v>
      </c>
      <c r="K49" s="94">
        <v>69300</v>
      </c>
      <c r="Q49" s="122" t="s">
        <v>702</v>
      </c>
      <c r="R49" s="86">
        <v>45000</v>
      </c>
      <c r="S49" s="86">
        <v>0</v>
      </c>
      <c r="V49" s="125" t="s">
        <v>485</v>
      </c>
      <c r="W49" s="97">
        <v>29000</v>
      </c>
      <c r="X49" s="97">
        <v>32600</v>
      </c>
    </row>
    <row r="50" spans="1:24">
      <c r="A50" s="120" t="s">
        <v>239</v>
      </c>
      <c r="B50" s="87">
        <v>6000</v>
      </c>
      <c r="C50" s="87">
        <v>6800</v>
      </c>
      <c r="E50" s="123" t="s">
        <v>575</v>
      </c>
      <c r="F50" s="94">
        <v>34800</v>
      </c>
      <c r="G50" s="94">
        <v>39200</v>
      </c>
      <c r="I50" s="122" t="s">
        <v>974</v>
      </c>
      <c r="J50" s="94">
        <v>67200</v>
      </c>
      <c r="K50" s="94">
        <v>75600</v>
      </c>
      <c r="Q50" s="122" t="s">
        <v>703</v>
      </c>
      <c r="R50" s="86">
        <v>58600</v>
      </c>
      <c r="S50" s="86">
        <v>0</v>
      </c>
      <c r="V50" s="127" t="s">
        <v>547</v>
      </c>
      <c r="W50" s="93">
        <v>7200</v>
      </c>
      <c r="X50" s="93">
        <v>8100</v>
      </c>
    </row>
    <row r="51" spans="1:24" ht="12" thickBot="1">
      <c r="A51" s="128" t="s">
        <v>240</v>
      </c>
      <c r="B51" s="97">
        <v>7200</v>
      </c>
      <c r="C51" s="97">
        <v>8100</v>
      </c>
      <c r="E51" s="123" t="s">
        <v>576</v>
      </c>
      <c r="F51" s="94">
        <v>40600</v>
      </c>
      <c r="G51" s="94">
        <v>45700</v>
      </c>
      <c r="I51" s="122" t="s">
        <v>975</v>
      </c>
      <c r="J51" s="94">
        <v>72800</v>
      </c>
      <c r="K51" s="94">
        <v>81900</v>
      </c>
      <c r="Q51" s="279" t="s">
        <v>443</v>
      </c>
      <c r="R51" s="280"/>
      <c r="S51" s="281"/>
      <c r="V51" s="120" t="s">
        <v>548</v>
      </c>
      <c r="W51" s="87">
        <v>8300</v>
      </c>
      <c r="X51" s="87">
        <v>9300</v>
      </c>
    </row>
    <row r="52" spans="1:24" ht="12" thickBot="1">
      <c r="A52" s="131" t="s">
        <v>241</v>
      </c>
      <c r="B52" s="132">
        <v>2300</v>
      </c>
      <c r="C52" s="132">
        <v>2600</v>
      </c>
      <c r="E52" s="123" t="s">
        <v>577</v>
      </c>
      <c r="F52" s="94">
        <v>46400</v>
      </c>
      <c r="G52" s="94">
        <v>52200</v>
      </c>
      <c r="I52" s="122" t="s">
        <v>976</v>
      </c>
      <c r="J52" s="94">
        <v>78400</v>
      </c>
      <c r="K52" s="94">
        <v>88200</v>
      </c>
      <c r="Q52" s="200" t="s">
        <v>84</v>
      </c>
      <c r="R52" s="200" t="s">
        <v>104</v>
      </c>
      <c r="S52" s="200" t="s">
        <v>25</v>
      </c>
      <c r="V52" s="120" t="s">
        <v>549</v>
      </c>
      <c r="W52" s="87">
        <v>11000</v>
      </c>
      <c r="X52" s="87">
        <v>12400</v>
      </c>
    </row>
    <row r="53" spans="1:24">
      <c r="A53" s="120" t="s">
        <v>242</v>
      </c>
      <c r="B53" s="87">
        <v>3200</v>
      </c>
      <c r="C53" s="87">
        <v>3600</v>
      </c>
      <c r="E53" s="123" t="s">
        <v>578</v>
      </c>
      <c r="F53" s="94">
        <v>52200</v>
      </c>
      <c r="G53" s="94">
        <v>58700</v>
      </c>
      <c r="I53" s="122" t="s">
        <v>977</v>
      </c>
      <c r="J53" s="94">
        <v>84000</v>
      </c>
      <c r="K53" s="94">
        <v>94500</v>
      </c>
      <c r="Q53" s="141" t="s">
        <v>667</v>
      </c>
      <c r="R53" s="100">
        <v>9000</v>
      </c>
      <c r="S53" s="100">
        <v>9000</v>
      </c>
      <c r="V53" s="120" t="s">
        <v>550</v>
      </c>
      <c r="W53" s="87">
        <v>14500</v>
      </c>
      <c r="X53" s="87">
        <v>16300</v>
      </c>
    </row>
    <row r="54" spans="1:24">
      <c r="A54" s="120" t="s">
        <v>243</v>
      </c>
      <c r="B54" s="87">
        <v>4000</v>
      </c>
      <c r="C54" s="87">
        <v>4500</v>
      </c>
      <c r="E54" s="123" t="s">
        <v>579</v>
      </c>
      <c r="F54" s="94">
        <v>57000</v>
      </c>
      <c r="G54" s="94">
        <v>63000</v>
      </c>
      <c r="I54" s="122" t="s">
        <v>978</v>
      </c>
      <c r="J54" s="94">
        <v>89600</v>
      </c>
      <c r="K54" s="94">
        <v>100800</v>
      </c>
      <c r="Q54" s="122" t="s">
        <v>668</v>
      </c>
      <c r="R54" s="94">
        <v>12000</v>
      </c>
      <c r="S54" s="94">
        <v>12000</v>
      </c>
      <c r="W54" s="205"/>
      <c r="X54" s="205"/>
    </row>
    <row r="55" spans="1:24" ht="12" thickBot="1">
      <c r="A55" s="120" t="s">
        <v>244</v>
      </c>
      <c r="B55" s="87">
        <v>5200</v>
      </c>
      <c r="C55" s="87">
        <v>5900</v>
      </c>
      <c r="E55" s="123" t="s">
        <v>580</v>
      </c>
      <c r="F55" s="94">
        <v>64000</v>
      </c>
      <c r="G55" s="94">
        <v>72000</v>
      </c>
      <c r="I55" s="122" t="s">
        <v>979</v>
      </c>
      <c r="J55" s="94">
        <v>95200</v>
      </c>
      <c r="K55" s="94">
        <v>107100</v>
      </c>
      <c r="Q55" s="137" t="s">
        <v>669</v>
      </c>
      <c r="R55" s="95">
        <v>16000</v>
      </c>
      <c r="S55" s="95">
        <v>16000</v>
      </c>
      <c r="W55" s="205"/>
      <c r="X55" s="205"/>
    </row>
    <row r="56" spans="1:24">
      <c r="A56" s="120" t="s">
        <v>245</v>
      </c>
      <c r="B56" s="87">
        <v>6000</v>
      </c>
      <c r="C56" s="87">
        <v>6800</v>
      </c>
      <c r="E56" s="123" t="s">
        <v>581</v>
      </c>
      <c r="F56" s="94">
        <v>69600</v>
      </c>
      <c r="G56" s="94">
        <v>78400</v>
      </c>
      <c r="I56" s="122" t="s">
        <v>980</v>
      </c>
      <c r="J56" s="94">
        <v>100800</v>
      </c>
      <c r="K56" s="94">
        <v>113400</v>
      </c>
      <c r="Q56" s="135" t="s">
        <v>538</v>
      </c>
      <c r="R56" s="100"/>
      <c r="S56" s="100">
        <v>25000</v>
      </c>
      <c r="W56" s="205"/>
      <c r="X56" s="205"/>
    </row>
    <row r="57" spans="1:24" ht="12" thickBot="1">
      <c r="A57" s="128" t="s">
        <v>246</v>
      </c>
      <c r="B57" s="97">
        <v>7200</v>
      </c>
      <c r="C57" s="97">
        <v>8100</v>
      </c>
      <c r="E57" s="123" t="s">
        <v>582</v>
      </c>
      <c r="F57" s="94">
        <v>75400</v>
      </c>
      <c r="G57" s="94">
        <v>84900</v>
      </c>
      <c r="I57" s="122" t="s">
        <v>981</v>
      </c>
      <c r="J57" s="94">
        <v>106400</v>
      </c>
      <c r="K57" s="94">
        <v>119700</v>
      </c>
      <c r="Q57" s="137" t="s">
        <v>534</v>
      </c>
      <c r="R57" s="95"/>
      <c r="S57" s="95">
        <v>35000</v>
      </c>
      <c r="W57" s="205"/>
      <c r="X57" s="205"/>
    </row>
    <row r="58" spans="1:24">
      <c r="A58" s="131" t="s">
        <v>247</v>
      </c>
      <c r="B58" s="132">
        <v>2300</v>
      </c>
      <c r="C58" s="132">
        <v>2600</v>
      </c>
      <c r="E58" s="123" t="s">
        <v>583</v>
      </c>
      <c r="F58" s="94">
        <v>81200</v>
      </c>
      <c r="G58" s="94">
        <v>91400</v>
      </c>
      <c r="I58" s="122" t="s">
        <v>982</v>
      </c>
      <c r="J58" s="94">
        <v>112000</v>
      </c>
      <c r="K58" s="94">
        <v>126000</v>
      </c>
      <c r="Q58" s="141" t="s">
        <v>535</v>
      </c>
      <c r="R58" s="100"/>
      <c r="S58" s="100">
        <v>16000</v>
      </c>
      <c r="W58" s="205"/>
      <c r="X58" s="205"/>
    </row>
    <row r="59" spans="1:24">
      <c r="A59" s="120" t="s">
        <v>248</v>
      </c>
      <c r="B59" s="87">
        <v>3200</v>
      </c>
      <c r="C59" s="87">
        <v>3600</v>
      </c>
      <c r="E59" s="123" t="s">
        <v>584</v>
      </c>
      <c r="F59" s="94">
        <v>87000</v>
      </c>
      <c r="G59" s="94">
        <v>97900</v>
      </c>
      <c r="I59" s="122" t="s">
        <v>983</v>
      </c>
      <c r="J59" s="94">
        <v>117600</v>
      </c>
      <c r="K59" s="94">
        <v>132300</v>
      </c>
      <c r="Q59" s="122" t="s">
        <v>536</v>
      </c>
      <c r="R59" s="94"/>
      <c r="S59" s="94">
        <v>25000</v>
      </c>
      <c r="W59" s="205"/>
      <c r="X59" s="205"/>
    </row>
    <row r="60" spans="1:24">
      <c r="A60" s="120" t="s">
        <v>249</v>
      </c>
      <c r="B60" s="87">
        <v>4000</v>
      </c>
      <c r="C60" s="87">
        <v>4500</v>
      </c>
      <c r="E60" s="123" t="s">
        <v>585</v>
      </c>
      <c r="F60" s="94">
        <v>91800</v>
      </c>
      <c r="G60" s="94">
        <v>102200</v>
      </c>
      <c r="I60" s="122" t="s">
        <v>984</v>
      </c>
      <c r="J60" s="94">
        <v>123200</v>
      </c>
      <c r="K60" s="94">
        <v>138600</v>
      </c>
      <c r="Q60" s="122" t="s">
        <v>537</v>
      </c>
      <c r="R60" s="94"/>
      <c r="S60" s="94">
        <v>25000</v>
      </c>
      <c r="W60" s="205"/>
      <c r="X60" s="205"/>
    </row>
    <row r="61" spans="1:24" ht="12" thickBot="1">
      <c r="A61" s="128" t="s">
        <v>250</v>
      </c>
      <c r="B61" s="97">
        <v>5200</v>
      </c>
      <c r="C61" s="97">
        <v>5900</v>
      </c>
      <c r="E61" s="123" t="s">
        <v>586</v>
      </c>
      <c r="F61" s="94">
        <v>97600</v>
      </c>
      <c r="G61" s="94">
        <v>108700</v>
      </c>
      <c r="I61" s="122" t="s">
        <v>985</v>
      </c>
      <c r="J61" s="94">
        <v>134400</v>
      </c>
      <c r="K61" s="94">
        <v>151200</v>
      </c>
      <c r="Q61" s="122" t="s">
        <v>538</v>
      </c>
      <c r="R61" s="94"/>
      <c r="S61" s="94">
        <v>25000</v>
      </c>
      <c r="W61" s="205"/>
      <c r="X61" s="205"/>
    </row>
    <row r="62" spans="1:24">
      <c r="A62" s="125" t="s">
        <v>251</v>
      </c>
      <c r="B62" s="124">
        <v>14500</v>
      </c>
      <c r="C62" s="124">
        <v>16300</v>
      </c>
      <c r="E62" s="123" t="s">
        <v>587</v>
      </c>
      <c r="F62" s="94">
        <v>103400</v>
      </c>
      <c r="G62" s="94">
        <v>115200</v>
      </c>
      <c r="I62" s="122" t="s">
        <v>986</v>
      </c>
      <c r="J62" s="94">
        <v>140000</v>
      </c>
      <c r="K62" s="94">
        <v>157500</v>
      </c>
      <c r="Q62" s="294" t="s">
        <v>298</v>
      </c>
      <c r="R62" s="295"/>
      <c r="S62" s="296"/>
      <c r="W62" s="205"/>
      <c r="X62" s="205"/>
    </row>
    <row r="63" spans="1:24" ht="12" thickBot="1">
      <c r="A63" s="125" t="s">
        <v>252</v>
      </c>
      <c r="B63" s="124">
        <v>29000</v>
      </c>
      <c r="C63" s="124">
        <v>32600</v>
      </c>
      <c r="E63" s="123" t="s">
        <v>588</v>
      </c>
      <c r="F63" s="94">
        <v>109200</v>
      </c>
      <c r="G63" s="94">
        <v>121700</v>
      </c>
      <c r="I63" s="122" t="s">
        <v>987</v>
      </c>
      <c r="J63" s="94">
        <v>145600</v>
      </c>
      <c r="K63" s="94">
        <v>163800</v>
      </c>
      <c r="Q63" s="140" t="s">
        <v>84</v>
      </c>
      <c r="R63" s="140" t="s">
        <v>104</v>
      </c>
      <c r="S63" s="140" t="s">
        <v>25</v>
      </c>
    </row>
    <row r="64" spans="1:24">
      <c r="A64" s="127" t="s">
        <v>532</v>
      </c>
      <c r="B64" s="93">
        <v>7200</v>
      </c>
      <c r="C64" s="93">
        <v>8100</v>
      </c>
      <c r="E64" s="123" t="s">
        <v>589</v>
      </c>
      <c r="F64" s="94">
        <v>114000</v>
      </c>
      <c r="G64" s="94">
        <v>126000</v>
      </c>
      <c r="I64" s="122" t="s">
        <v>988</v>
      </c>
      <c r="J64" s="94">
        <v>168000</v>
      </c>
      <c r="K64" s="94">
        <v>189000</v>
      </c>
      <c r="Q64" s="123" t="s">
        <v>384</v>
      </c>
      <c r="R64" s="101">
        <v>7200</v>
      </c>
      <c r="S64" s="101">
        <v>8500</v>
      </c>
    </row>
    <row r="65" spans="1:19" ht="12" thickBot="1">
      <c r="A65" s="125" t="s">
        <v>533</v>
      </c>
      <c r="B65" s="124">
        <v>14500</v>
      </c>
      <c r="C65" s="124">
        <v>16300</v>
      </c>
      <c r="E65" s="123" t="s">
        <v>590</v>
      </c>
      <c r="F65" s="94">
        <v>121800</v>
      </c>
      <c r="G65" s="94">
        <v>137100</v>
      </c>
      <c r="J65" s="113"/>
      <c r="K65" s="113"/>
      <c r="Q65" s="123" t="s">
        <v>385</v>
      </c>
      <c r="R65" s="101">
        <v>8300</v>
      </c>
      <c r="S65" s="101">
        <v>9200</v>
      </c>
    </row>
    <row r="66" spans="1:19">
      <c r="A66" s="127" t="s">
        <v>547</v>
      </c>
      <c r="B66" s="93">
        <v>7200</v>
      </c>
      <c r="C66" s="93">
        <v>8100</v>
      </c>
      <c r="E66" s="123" t="s">
        <v>591</v>
      </c>
      <c r="F66" s="94">
        <v>126600</v>
      </c>
      <c r="G66" s="94">
        <v>141400</v>
      </c>
      <c r="I66" s="273" t="s">
        <v>296</v>
      </c>
      <c r="J66" s="274"/>
      <c r="K66" s="275"/>
      <c r="Q66" s="123" t="s">
        <v>386</v>
      </c>
      <c r="R66" s="101">
        <v>13000</v>
      </c>
      <c r="S66" s="101">
        <v>15000</v>
      </c>
    </row>
    <row r="67" spans="1:19">
      <c r="A67" s="120" t="s">
        <v>548</v>
      </c>
      <c r="B67" s="87">
        <v>8300</v>
      </c>
      <c r="C67" s="87">
        <v>9300</v>
      </c>
      <c r="E67" s="123" t="s">
        <v>592</v>
      </c>
      <c r="F67" s="94">
        <v>132400</v>
      </c>
      <c r="G67" s="94">
        <v>147900</v>
      </c>
      <c r="I67" s="136" t="s">
        <v>283</v>
      </c>
      <c r="J67" s="136" t="s">
        <v>284</v>
      </c>
      <c r="K67" s="136" t="s">
        <v>295</v>
      </c>
      <c r="Q67" s="123" t="s">
        <v>387</v>
      </c>
      <c r="R67" s="101">
        <v>14500</v>
      </c>
      <c r="S67" s="101">
        <v>16700</v>
      </c>
    </row>
    <row r="68" spans="1:19" ht="12" thickBot="1">
      <c r="A68" s="120" t="s">
        <v>549</v>
      </c>
      <c r="B68" s="87">
        <v>11000</v>
      </c>
      <c r="C68" s="87">
        <v>12400</v>
      </c>
      <c r="E68" s="123" t="s">
        <v>593</v>
      </c>
      <c r="F68" s="94">
        <v>138200</v>
      </c>
      <c r="G68" s="94">
        <v>154400</v>
      </c>
      <c r="I68" s="122" t="s">
        <v>642</v>
      </c>
      <c r="J68" s="94">
        <v>80245</v>
      </c>
      <c r="K68" s="94">
        <v>76966</v>
      </c>
      <c r="Q68" s="294" t="s">
        <v>598</v>
      </c>
      <c r="R68" s="295"/>
      <c r="S68" s="296"/>
    </row>
    <row r="69" spans="1:19" ht="12" thickBot="1">
      <c r="A69" s="120" t="s">
        <v>550</v>
      </c>
      <c r="B69" s="87">
        <v>14500</v>
      </c>
      <c r="C69" s="87">
        <v>16300</v>
      </c>
      <c r="E69" s="229" t="s">
        <v>709</v>
      </c>
      <c r="F69" s="121"/>
      <c r="G69" s="96"/>
      <c r="I69" s="122" t="s">
        <v>643</v>
      </c>
      <c r="J69" s="94">
        <v>114152</v>
      </c>
      <c r="K69" s="94">
        <v>116057</v>
      </c>
      <c r="Q69" s="140" t="s">
        <v>84</v>
      </c>
      <c r="R69" s="140" t="s">
        <v>104</v>
      </c>
      <c r="S69" s="140" t="s">
        <v>25</v>
      </c>
    </row>
    <row r="70" spans="1:19" ht="12" thickBot="1">
      <c r="A70" s="127" t="s">
        <v>754</v>
      </c>
      <c r="B70" s="93">
        <v>7200</v>
      </c>
      <c r="C70" s="93">
        <v>8100</v>
      </c>
      <c r="E70" s="122" t="s">
        <v>710</v>
      </c>
      <c r="F70" s="101">
        <v>23300</v>
      </c>
      <c r="G70" s="94">
        <v>0</v>
      </c>
      <c r="I70" s="122" t="s">
        <v>644</v>
      </c>
      <c r="J70" s="94">
        <v>160754</v>
      </c>
      <c r="K70" s="94">
        <v>150793</v>
      </c>
      <c r="Q70" s="229" t="s">
        <v>741</v>
      </c>
      <c r="R70" s="144"/>
      <c r="S70" s="102"/>
    </row>
    <row r="71" spans="1:19">
      <c r="A71" s="120" t="s">
        <v>755</v>
      </c>
      <c r="B71" s="87">
        <v>8300</v>
      </c>
      <c r="C71" s="87">
        <v>9300</v>
      </c>
      <c r="E71" s="122" t="s">
        <v>711</v>
      </c>
      <c r="F71" s="101">
        <v>29200</v>
      </c>
      <c r="G71" s="94">
        <v>0</v>
      </c>
      <c r="I71" s="122" t="s">
        <v>645</v>
      </c>
      <c r="J71" s="94">
        <v>183832</v>
      </c>
      <c r="K71" s="94">
        <v>184821</v>
      </c>
      <c r="Q71" s="123" t="s">
        <v>1087</v>
      </c>
      <c r="R71" s="103">
        <v>7200</v>
      </c>
      <c r="S71" s="103">
        <v>8600</v>
      </c>
    </row>
    <row r="72" spans="1:19">
      <c r="A72" s="120" t="s">
        <v>756</v>
      </c>
      <c r="B72" s="87">
        <v>11000</v>
      </c>
      <c r="C72" s="87">
        <v>12400</v>
      </c>
      <c r="E72" s="122" t="s">
        <v>712</v>
      </c>
      <c r="F72" s="94">
        <v>34800</v>
      </c>
      <c r="G72" s="94">
        <v>0</v>
      </c>
      <c r="I72" s="122" t="s">
        <v>646</v>
      </c>
      <c r="J72" s="101">
        <v>140106</v>
      </c>
      <c r="K72" s="101">
        <v>140088</v>
      </c>
      <c r="Q72" s="123" t="s">
        <v>1088</v>
      </c>
      <c r="R72" s="103">
        <v>9000</v>
      </c>
      <c r="S72" s="103">
        <v>11000</v>
      </c>
    </row>
    <row r="73" spans="1:19" ht="12" thickBot="1">
      <c r="A73" s="125" t="s">
        <v>757</v>
      </c>
      <c r="B73" s="124">
        <v>14500</v>
      </c>
      <c r="C73" s="124">
        <v>16300</v>
      </c>
      <c r="E73" s="122" t="s">
        <v>713</v>
      </c>
      <c r="F73" s="94">
        <v>39200</v>
      </c>
      <c r="G73" s="94">
        <v>0</v>
      </c>
      <c r="I73" s="122" t="s">
        <v>647</v>
      </c>
      <c r="J73" s="94">
        <v>210164</v>
      </c>
      <c r="K73" s="94">
        <v>210471</v>
      </c>
      <c r="Q73" s="123" t="s">
        <v>1089</v>
      </c>
      <c r="R73" s="103">
        <v>11000</v>
      </c>
      <c r="S73" s="103">
        <v>13200</v>
      </c>
    </row>
    <row r="74" spans="1:19" ht="12" thickBot="1">
      <c r="A74" s="229" t="s">
        <v>844</v>
      </c>
      <c r="B74" s="144"/>
      <c r="C74" s="102"/>
      <c r="E74" s="122" t="s">
        <v>714</v>
      </c>
      <c r="F74" s="94">
        <v>46400</v>
      </c>
      <c r="G74" s="94">
        <v>0</v>
      </c>
      <c r="I74" s="122" t="s">
        <v>648</v>
      </c>
      <c r="J74" s="94">
        <v>280428</v>
      </c>
      <c r="K74" s="94">
        <v>280545</v>
      </c>
      <c r="Q74" s="123" t="s">
        <v>1090</v>
      </c>
      <c r="R74" s="103">
        <v>11000</v>
      </c>
      <c r="S74" s="103">
        <v>13200</v>
      </c>
    </row>
    <row r="75" spans="1:19" ht="12" thickBot="1">
      <c r="A75" s="120" t="s">
        <v>1163</v>
      </c>
      <c r="B75" s="87">
        <v>7500</v>
      </c>
      <c r="C75" s="87">
        <v>7000</v>
      </c>
      <c r="E75" s="122" t="s">
        <v>715</v>
      </c>
      <c r="F75" s="94">
        <v>52200</v>
      </c>
      <c r="G75" s="94">
        <v>0</v>
      </c>
      <c r="I75" s="122" t="s">
        <v>649</v>
      </c>
      <c r="J75" s="94">
        <v>350000</v>
      </c>
      <c r="K75" s="94">
        <v>350000</v>
      </c>
      <c r="Q75" s="123" t="s">
        <v>1091</v>
      </c>
      <c r="R75" s="103">
        <v>14500</v>
      </c>
      <c r="S75" s="103">
        <v>16700</v>
      </c>
    </row>
    <row r="76" spans="1:19" ht="12" thickBot="1">
      <c r="A76" s="120" t="s">
        <v>924</v>
      </c>
      <c r="B76" s="87">
        <v>23000</v>
      </c>
      <c r="C76" s="87">
        <v>21000</v>
      </c>
      <c r="E76" s="122" t="s">
        <v>716</v>
      </c>
      <c r="F76" s="94">
        <v>57000</v>
      </c>
      <c r="G76" s="94">
        <v>0</v>
      </c>
      <c r="I76" s="122" t="s">
        <v>650</v>
      </c>
      <c r="J76" s="101">
        <v>420000</v>
      </c>
      <c r="K76" s="101">
        <v>420000</v>
      </c>
      <c r="Q76" s="229" t="s">
        <v>742</v>
      </c>
      <c r="R76" s="144"/>
      <c r="S76" s="102"/>
    </row>
    <row r="77" spans="1:19" ht="12" thickBot="1">
      <c r="A77" s="120" t="s">
        <v>928</v>
      </c>
      <c r="B77" s="87">
        <v>30000</v>
      </c>
      <c r="C77" s="87">
        <v>28000</v>
      </c>
      <c r="E77" s="122" t="s">
        <v>717</v>
      </c>
      <c r="F77" s="94">
        <v>64000</v>
      </c>
      <c r="G77" s="94">
        <v>0</v>
      </c>
      <c r="I77" s="122" t="s">
        <v>651</v>
      </c>
      <c r="J77" s="94">
        <v>490000</v>
      </c>
      <c r="K77" s="94">
        <v>490000</v>
      </c>
      <c r="Q77" s="123" t="s">
        <v>1092</v>
      </c>
      <c r="R77" s="103">
        <v>7200</v>
      </c>
      <c r="S77" s="103">
        <v>8600</v>
      </c>
    </row>
    <row r="78" spans="1:19" ht="12" thickBot="1">
      <c r="A78" s="229" t="s">
        <v>845</v>
      </c>
      <c r="B78" s="144"/>
      <c r="C78" s="102"/>
      <c r="E78" s="122" t="s">
        <v>718</v>
      </c>
      <c r="F78" s="94">
        <v>67500</v>
      </c>
      <c r="G78" s="94">
        <v>0</v>
      </c>
      <c r="H78" s="147"/>
      <c r="I78" s="122" t="s">
        <v>652</v>
      </c>
      <c r="J78" s="94">
        <v>560000</v>
      </c>
      <c r="K78" s="94">
        <v>560000</v>
      </c>
      <c r="Q78" s="123" t="s">
        <v>1093</v>
      </c>
      <c r="R78" s="103">
        <v>9000</v>
      </c>
      <c r="S78" s="103">
        <v>11000</v>
      </c>
    </row>
    <row r="79" spans="1:19">
      <c r="A79" s="120" t="s">
        <v>1164</v>
      </c>
      <c r="B79" s="87">
        <v>12300</v>
      </c>
      <c r="C79" s="87">
        <v>8800</v>
      </c>
      <c r="E79" s="122" t="s">
        <v>719</v>
      </c>
      <c r="F79" s="94">
        <v>72800</v>
      </c>
      <c r="G79" s="94">
        <v>0</v>
      </c>
      <c r="H79" s="147"/>
      <c r="Q79" s="123" t="s">
        <v>1094</v>
      </c>
      <c r="R79" s="103">
        <v>11000</v>
      </c>
      <c r="S79" s="103">
        <v>13200</v>
      </c>
    </row>
    <row r="80" spans="1:19">
      <c r="A80" s="120" t="s">
        <v>927</v>
      </c>
      <c r="B80" s="87">
        <v>35200</v>
      </c>
      <c r="C80" s="87">
        <v>23000</v>
      </c>
      <c r="E80" s="122" t="s">
        <v>720</v>
      </c>
      <c r="F80" s="94">
        <v>78400</v>
      </c>
      <c r="G80" s="94">
        <v>0</v>
      </c>
      <c r="H80" s="147"/>
      <c r="I80" s="273" t="s">
        <v>817</v>
      </c>
      <c r="J80" s="274"/>
      <c r="K80" s="275"/>
      <c r="Q80" s="123" t="s">
        <v>1095</v>
      </c>
      <c r="R80" s="103">
        <v>11000</v>
      </c>
      <c r="S80" s="103">
        <v>13200</v>
      </c>
    </row>
    <row r="81" spans="1:19" ht="12" thickBot="1">
      <c r="A81" s="120" t="s">
        <v>930</v>
      </c>
      <c r="B81" s="87">
        <v>41900</v>
      </c>
      <c r="C81" s="87">
        <v>29300</v>
      </c>
      <c r="E81" s="122" t="s">
        <v>721</v>
      </c>
      <c r="F81" s="94">
        <v>85600</v>
      </c>
      <c r="G81" s="94">
        <v>0</v>
      </c>
      <c r="H81" s="147"/>
      <c r="I81" s="136" t="s">
        <v>103</v>
      </c>
      <c r="J81" s="136" t="s">
        <v>104</v>
      </c>
      <c r="K81" s="136" t="s">
        <v>25</v>
      </c>
      <c r="Q81" s="123" t="s">
        <v>1096</v>
      </c>
      <c r="R81" s="103">
        <v>14500</v>
      </c>
      <c r="S81" s="103">
        <v>16700</v>
      </c>
    </row>
    <row r="82" spans="1:19" ht="12" thickBot="1">
      <c r="A82" s="229" t="s">
        <v>1050</v>
      </c>
      <c r="B82" s="144"/>
      <c r="C82" s="102"/>
      <c r="E82" s="122" t="s">
        <v>722</v>
      </c>
      <c r="F82" s="94">
        <v>91400</v>
      </c>
      <c r="G82" s="94">
        <v>0</v>
      </c>
      <c r="H82" s="147"/>
      <c r="I82" s="131" t="s">
        <v>819</v>
      </c>
      <c r="J82" s="87">
        <v>40600</v>
      </c>
      <c r="K82" s="94">
        <v>45700</v>
      </c>
      <c r="Q82" s="294" t="s">
        <v>388</v>
      </c>
      <c r="R82" s="295"/>
      <c r="S82" s="296"/>
    </row>
    <row r="83" spans="1:19">
      <c r="A83" s="120" t="s">
        <v>1051</v>
      </c>
      <c r="B83" s="87">
        <v>26400</v>
      </c>
      <c r="C83" s="87">
        <v>26400</v>
      </c>
      <c r="E83" s="122" t="s">
        <v>723</v>
      </c>
      <c r="F83" s="94">
        <v>96200</v>
      </c>
      <c r="G83" s="95">
        <v>0</v>
      </c>
      <c r="H83" s="147"/>
      <c r="I83" s="131" t="s">
        <v>832</v>
      </c>
      <c r="J83" s="94">
        <v>81200</v>
      </c>
      <c r="K83" s="94">
        <v>91400</v>
      </c>
      <c r="Q83" s="140" t="s">
        <v>84</v>
      </c>
      <c r="R83" s="140" t="s">
        <v>104</v>
      </c>
      <c r="S83" s="140" t="s">
        <v>25</v>
      </c>
    </row>
    <row r="84" spans="1:19">
      <c r="A84" s="120" t="s">
        <v>1052</v>
      </c>
      <c r="B84" s="87">
        <v>34600</v>
      </c>
      <c r="C84" s="87">
        <v>34600</v>
      </c>
      <c r="E84" s="122" t="s">
        <v>724</v>
      </c>
      <c r="F84" s="94">
        <v>103200</v>
      </c>
      <c r="G84" s="95">
        <v>0</v>
      </c>
      <c r="H84" s="147"/>
      <c r="I84" s="131" t="s">
        <v>833</v>
      </c>
      <c r="J84" s="94">
        <v>121800</v>
      </c>
      <c r="K84" s="94">
        <v>137100</v>
      </c>
      <c r="Q84" s="123" t="s">
        <v>389</v>
      </c>
      <c r="R84" s="101">
        <v>3200</v>
      </c>
      <c r="S84" s="101">
        <v>3600</v>
      </c>
    </row>
    <row r="85" spans="1:19">
      <c r="A85" s="120" t="s">
        <v>1053</v>
      </c>
      <c r="B85" s="87">
        <v>52100</v>
      </c>
      <c r="C85" s="87">
        <v>52100</v>
      </c>
      <c r="D85" s="146"/>
      <c r="E85" s="122" t="s">
        <v>725</v>
      </c>
      <c r="F85" s="94">
        <v>106700</v>
      </c>
      <c r="G85" s="95">
        <v>0</v>
      </c>
      <c r="H85" s="147"/>
      <c r="I85" s="273" t="s">
        <v>837</v>
      </c>
      <c r="J85" s="274"/>
      <c r="K85" s="275"/>
      <c r="Q85" s="123" t="s">
        <v>390</v>
      </c>
      <c r="R85" s="101">
        <v>4000</v>
      </c>
      <c r="S85" s="101">
        <v>4600</v>
      </c>
    </row>
    <row r="86" spans="1:19">
      <c r="A86" s="120" t="s">
        <v>1054</v>
      </c>
      <c r="B86" s="87">
        <v>70300</v>
      </c>
      <c r="C86" s="87">
        <v>70300</v>
      </c>
      <c r="D86" s="146"/>
      <c r="E86" s="122" t="s">
        <v>726</v>
      </c>
      <c r="F86" s="94">
        <v>113900</v>
      </c>
      <c r="G86" s="95">
        <v>0</v>
      </c>
      <c r="H86" s="147"/>
      <c r="I86" s="131" t="s">
        <v>835</v>
      </c>
      <c r="J86" s="87">
        <v>14500</v>
      </c>
      <c r="K86" s="94">
        <v>16300</v>
      </c>
      <c r="R86" s="113"/>
    </row>
    <row r="87" spans="1:19">
      <c r="A87" s="120" t="s">
        <v>1055</v>
      </c>
      <c r="B87" s="87">
        <v>26400</v>
      </c>
      <c r="C87" s="87">
        <v>26400</v>
      </c>
      <c r="D87" s="146"/>
      <c r="E87" s="122" t="s">
        <v>727</v>
      </c>
      <c r="F87" s="95">
        <v>119700</v>
      </c>
      <c r="G87" s="95">
        <v>0</v>
      </c>
      <c r="H87" s="147"/>
      <c r="I87" s="273" t="s">
        <v>226</v>
      </c>
      <c r="J87" s="274"/>
      <c r="K87" s="275"/>
      <c r="Q87" s="294" t="s">
        <v>211</v>
      </c>
      <c r="R87" s="295"/>
      <c r="S87" s="296"/>
    </row>
    <row r="88" spans="1:19" ht="12" thickBot="1">
      <c r="A88" s="120" t="s">
        <v>1056</v>
      </c>
      <c r="B88" s="87">
        <v>34600</v>
      </c>
      <c r="C88" s="87">
        <v>34600</v>
      </c>
      <c r="D88" s="146"/>
      <c r="E88" s="122" t="s">
        <v>728</v>
      </c>
      <c r="F88" s="95">
        <v>124500</v>
      </c>
      <c r="G88" s="95">
        <v>0</v>
      </c>
      <c r="H88" s="147"/>
      <c r="I88" s="136" t="s">
        <v>84</v>
      </c>
      <c r="J88" s="136" t="s">
        <v>104</v>
      </c>
      <c r="K88" s="136" t="s">
        <v>25</v>
      </c>
      <c r="Q88" s="143" t="s">
        <v>84</v>
      </c>
      <c r="R88" s="140" t="s">
        <v>104</v>
      </c>
      <c r="S88" s="140" t="s">
        <v>25</v>
      </c>
    </row>
    <row r="89" spans="1:19" ht="12" thickBot="1">
      <c r="A89" s="120" t="s">
        <v>1057</v>
      </c>
      <c r="B89" s="87">
        <v>52100</v>
      </c>
      <c r="C89" s="87">
        <v>52100</v>
      </c>
      <c r="D89" s="146"/>
      <c r="E89" s="122" t="s">
        <v>729</v>
      </c>
      <c r="F89" s="95">
        <v>131500</v>
      </c>
      <c r="G89" s="95">
        <v>0</v>
      </c>
      <c r="H89" s="147"/>
      <c r="I89" s="131" t="s">
        <v>179</v>
      </c>
      <c r="J89" s="132">
        <v>23300</v>
      </c>
      <c r="K89" s="94">
        <v>25900</v>
      </c>
      <c r="Q89" s="229" t="s">
        <v>297</v>
      </c>
      <c r="R89" s="144"/>
      <c r="S89" s="102"/>
    </row>
    <row r="90" spans="1:19">
      <c r="A90" s="120" t="s">
        <v>1058</v>
      </c>
      <c r="B90" s="87">
        <v>70300</v>
      </c>
      <c r="C90" s="87">
        <v>70300</v>
      </c>
      <c r="D90" s="147"/>
      <c r="E90" s="122" t="s">
        <v>730</v>
      </c>
      <c r="F90" s="95">
        <v>135000</v>
      </c>
      <c r="G90" s="95">
        <v>0</v>
      </c>
      <c r="H90" s="147"/>
      <c r="I90" s="131" t="s">
        <v>180</v>
      </c>
      <c r="J90" s="87">
        <v>29200</v>
      </c>
      <c r="K90" s="94">
        <v>32800</v>
      </c>
      <c r="Q90" s="122" t="s">
        <v>750</v>
      </c>
      <c r="R90" s="86">
        <v>2300</v>
      </c>
      <c r="S90" s="86">
        <v>0</v>
      </c>
    </row>
    <row r="91" spans="1:19" ht="12" thickBot="1">
      <c r="A91" s="279" t="s">
        <v>442</v>
      </c>
      <c r="B91" s="280"/>
      <c r="C91" s="281"/>
      <c r="D91" s="147"/>
      <c r="E91" s="122" t="s">
        <v>731</v>
      </c>
      <c r="F91" s="95">
        <v>141500</v>
      </c>
      <c r="G91" s="95">
        <v>0</v>
      </c>
      <c r="H91" s="147"/>
      <c r="I91" s="131" t="s">
        <v>181</v>
      </c>
      <c r="J91" s="87">
        <v>34800</v>
      </c>
      <c r="K91" s="94">
        <v>39200</v>
      </c>
      <c r="Q91" s="122" t="s">
        <v>751</v>
      </c>
      <c r="R91" s="86">
        <v>3200</v>
      </c>
      <c r="S91" s="86">
        <v>0</v>
      </c>
    </row>
    <row r="92" spans="1:19" ht="12" thickBot="1">
      <c r="A92" s="199" t="s">
        <v>84</v>
      </c>
      <c r="B92" s="199" t="s">
        <v>104</v>
      </c>
      <c r="C92" s="199" t="s">
        <v>25</v>
      </c>
      <c r="D92" s="147"/>
      <c r="E92" s="229" t="s">
        <v>218</v>
      </c>
      <c r="F92" s="121"/>
      <c r="G92" s="96"/>
      <c r="H92" s="147"/>
      <c r="I92" s="131" t="s">
        <v>182</v>
      </c>
      <c r="J92" s="87">
        <v>40600</v>
      </c>
      <c r="K92" s="94">
        <v>45700</v>
      </c>
      <c r="Q92" s="122" t="s">
        <v>626</v>
      </c>
      <c r="R92" s="86">
        <v>4000</v>
      </c>
      <c r="S92" s="86">
        <v>0</v>
      </c>
    </row>
    <row r="93" spans="1:19">
      <c r="A93" s="127" t="s">
        <v>542</v>
      </c>
      <c r="B93" s="93">
        <v>14500</v>
      </c>
      <c r="C93" s="93">
        <v>16000</v>
      </c>
      <c r="D93" s="147"/>
      <c r="E93" s="123" t="s">
        <v>219</v>
      </c>
      <c r="F93" s="101">
        <v>23300</v>
      </c>
      <c r="G93" s="101">
        <v>25900</v>
      </c>
      <c r="H93" s="147"/>
      <c r="I93" s="131" t="s">
        <v>183</v>
      </c>
      <c r="J93" s="132">
        <v>46400</v>
      </c>
      <c r="K93" s="94">
        <v>52200</v>
      </c>
      <c r="Q93" s="122" t="s">
        <v>627</v>
      </c>
      <c r="R93" s="86">
        <v>5200</v>
      </c>
      <c r="S93" s="86">
        <v>0</v>
      </c>
    </row>
    <row r="94" spans="1:19">
      <c r="A94" s="120" t="s">
        <v>543</v>
      </c>
      <c r="B94" s="87">
        <v>29000</v>
      </c>
      <c r="C94" s="87">
        <v>32000</v>
      </c>
      <c r="E94" s="123" t="s">
        <v>444</v>
      </c>
      <c r="F94" s="94">
        <v>29200</v>
      </c>
      <c r="G94" s="94">
        <v>32800</v>
      </c>
      <c r="H94" s="147"/>
      <c r="I94" s="131" t="s">
        <v>184</v>
      </c>
      <c r="J94" s="132">
        <v>52200</v>
      </c>
      <c r="K94" s="94">
        <v>58700</v>
      </c>
      <c r="Q94" s="122" t="s">
        <v>628</v>
      </c>
      <c r="R94" s="86">
        <v>6000</v>
      </c>
      <c r="S94" s="86">
        <v>0</v>
      </c>
    </row>
    <row r="95" spans="1:19" ht="12" thickBot="1">
      <c r="A95" s="128" t="s">
        <v>544</v>
      </c>
      <c r="B95" s="145">
        <v>46400</v>
      </c>
      <c r="C95" s="97">
        <v>52000</v>
      </c>
      <c r="E95" s="123" t="s">
        <v>31</v>
      </c>
      <c r="F95" s="101">
        <v>23300</v>
      </c>
      <c r="G95" s="101">
        <v>25900</v>
      </c>
      <c r="H95" s="147"/>
      <c r="I95" s="131" t="s">
        <v>185</v>
      </c>
      <c r="J95" s="87">
        <v>57000</v>
      </c>
      <c r="K95" s="94">
        <v>63000</v>
      </c>
      <c r="Q95" s="122" t="s">
        <v>629</v>
      </c>
      <c r="R95" s="86">
        <v>7200</v>
      </c>
      <c r="S95" s="86">
        <v>0</v>
      </c>
    </row>
    <row r="96" spans="1:19" ht="12" thickBot="1">
      <c r="A96" s="127" t="s">
        <v>545</v>
      </c>
      <c r="B96" s="93">
        <v>0</v>
      </c>
      <c r="C96" s="93">
        <v>13800</v>
      </c>
      <c r="E96" s="123" t="s">
        <v>32</v>
      </c>
      <c r="F96" s="94">
        <v>29200</v>
      </c>
      <c r="G96" s="94">
        <v>32800</v>
      </c>
      <c r="H96" s="147"/>
      <c r="I96" s="131" t="s">
        <v>233</v>
      </c>
      <c r="J96" s="87">
        <v>64000</v>
      </c>
      <c r="K96" s="94">
        <v>72000</v>
      </c>
      <c r="Q96" s="229" t="s">
        <v>541</v>
      </c>
      <c r="R96" s="144"/>
      <c r="S96" s="102"/>
    </row>
    <row r="97" spans="1:19">
      <c r="A97" s="120" t="s">
        <v>546</v>
      </c>
      <c r="B97" s="87">
        <v>0</v>
      </c>
      <c r="C97" s="87">
        <v>25200</v>
      </c>
      <c r="E97" s="123" t="s">
        <v>33</v>
      </c>
      <c r="F97" s="94">
        <v>34800</v>
      </c>
      <c r="G97" s="94">
        <v>39200</v>
      </c>
      <c r="H97" s="147"/>
      <c r="I97" s="131" t="s">
        <v>670</v>
      </c>
      <c r="J97" s="87">
        <v>67500</v>
      </c>
      <c r="K97" s="94">
        <v>74000</v>
      </c>
      <c r="Q97" s="123" t="s">
        <v>940</v>
      </c>
      <c r="R97" s="103">
        <v>6000</v>
      </c>
      <c r="S97" s="103">
        <v>0</v>
      </c>
    </row>
    <row r="98" spans="1:19">
      <c r="A98" s="282" t="s">
        <v>222</v>
      </c>
      <c r="B98" s="283"/>
      <c r="C98" s="284"/>
      <c r="E98" s="123" t="s">
        <v>445</v>
      </c>
      <c r="F98" s="94">
        <v>40600</v>
      </c>
      <c r="G98" s="94">
        <v>45700</v>
      </c>
      <c r="I98" s="131" t="s">
        <v>186</v>
      </c>
      <c r="J98" s="94">
        <v>75400</v>
      </c>
      <c r="K98" s="94">
        <v>84900</v>
      </c>
      <c r="Q98" s="122" t="s">
        <v>941</v>
      </c>
      <c r="R98" s="86">
        <v>7200</v>
      </c>
      <c r="S98" s="86">
        <v>0</v>
      </c>
    </row>
    <row r="99" spans="1:19" ht="12" thickBot="1">
      <c r="A99" s="118" t="s">
        <v>103</v>
      </c>
      <c r="B99" s="118" t="s">
        <v>104</v>
      </c>
      <c r="C99" s="118" t="s">
        <v>25</v>
      </c>
      <c r="E99" s="123" t="s">
        <v>446</v>
      </c>
      <c r="F99" s="94">
        <v>46400</v>
      </c>
      <c r="G99" s="94">
        <v>52200</v>
      </c>
      <c r="I99" s="131" t="s">
        <v>187</v>
      </c>
      <c r="J99" s="94">
        <v>81200</v>
      </c>
      <c r="K99" s="94">
        <v>91400</v>
      </c>
      <c r="Q99" s="122" t="s">
        <v>942</v>
      </c>
      <c r="R99" s="86">
        <v>9000</v>
      </c>
      <c r="S99" s="86">
        <v>0</v>
      </c>
    </row>
    <row r="100" spans="1:19" ht="12" thickBot="1">
      <c r="A100" s="229" t="s">
        <v>299</v>
      </c>
      <c r="B100" s="121"/>
      <c r="C100" s="96"/>
      <c r="E100" s="123" t="s">
        <v>34</v>
      </c>
      <c r="F100" s="94">
        <v>52200</v>
      </c>
      <c r="G100" s="94">
        <v>56700</v>
      </c>
      <c r="I100" s="131" t="s">
        <v>188</v>
      </c>
      <c r="J100" s="94">
        <v>87000</v>
      </c>
      <c r="K100" s="94">
        <v>97900</v>
      </c>
      <c r="Q100" s="122" t="s">
        <v>943</v>
      </c>
      <c r="R100" s="86">
        <v>11000</v>
      </c>
      <c r="S100" s="86">
        <v>0</v>
      </c>
    </row>
    <row r="101" spans="1:19" ht="12" thickBot="1">
      <c r="A101" s="120" t="s">
        <v>1060</v>
      </c>
      <c r="B101" s="87">
        <v>1200</v>
      </c>
      <c r="C101" s="87">
        <v>0</v>
      </c>
      <c r="E101" s="123" t="s">
        <v>35</v>
      </c>
      <c r="F101" s="94">
        <v>57000</v>
      </c>
      <c r="G101" s="94">
        <v>63000</v>
      </c>
      <c r="H101" s="146"/>
      <c r="I101" s="131" t="s">
        <v>189</v>
      </c>
      <c r="J101" s="94">
        <v>92800</v>
      </c>
      <c r="K101" s="94">
        <v>104400</v>
      </c>
      <c r="Q101" s="137" t="s">
        <v>944</v>
      </c>
      <c r="R101" s="104">
        <v>14500</v>
      </c>
      <c r="S101" s="104">
        <v>0</v>
      </c>
    </row>
    <row r="102" spans="1:19" ht="12" thickBot="1">
      <c r="A102" s="120" t="s">
        <v>1061</v>
      </c>
      <c r="B102" s="87">
        <v>1600</v>
      </c>
      <c r="C102" s="87">
        <v>0</v>
      </c>
      <c r="E102" s="123" t="s">
        <v>36</v>
      </c>
      <c r="F102" s="94">
        <v>64000</v>
      </c>
      <c r="G102" s="94">
        <v>72000</v>
      </c>
      <c r="H102" s="146"/>
      <c r="I102" s="131" t="s">
        <v>190</v>
      </c>
      <c r="J102" s="94">
        <v>97600</v>
      </c>
      <c r="K102" s="94">
        <v>108700</v>
      </c>
      <c r="Q102" s="229" t="s">
        <v>521</v>
      </c>
      <c r="R102" s="203" t="s">
        <v>597</v>
      </c>
      <c r="S102" s="102"/>
    </row>
    <row r="103" spans="1:19">
      <c r="A103" s="120" t="s">
        <v>1062</v>
      </c>
      <c r="B103" s="87">
        <v>2000</v>
      </c>
      <c r="C103" s="87">
        <v>0</v>
      </c>
      <c r="E103" s="123" t="s">
        <v>37</v>
      </c>
      <c r="F103" s="94">
        <v>67500</v>
      </c>
      <c r="G103" s="94">
        <v>74000</v>
      </c>
      <c r="H103" s="146"/>
      <c r="I103" s="131" t="s">
        <v>191</v>
      </c>
      <c r="J103" s="94">
        <v>104600</v>
      </c>
      <c r="K103" s="94">
        <v>117700</v>
      </c>
      <c r="Q103" s="135" t="s">
        <v>1086</v>
      </c>
      <c r="R103" s="85">
        <v>2300</v>
      </c>
      <c r="S103" s="85">
        <v>2800</v>
      </c>
    </row>
    <row r="104" spans="1:19">
      <c r="A104" s="120" t="s">
        <v>1063</v>
      </c>
      <c r="B104" s="87">
        <v>2000</v>
      </c>
      <c r="C104" s="87">
        <v>0</v>
      </c>
      <c r="E104" s="123" t="s">
        <v>447</v>
      </c>
      <c r="F104" s="94">
        <v>75600</v>
      </c>
      <c r="G104" s="94">
        <v>85000</v>
      </c>
      <c r="H104" s="146"/>
      <c r="I104" s="131" t="s">
        <v>192</v>
      </c>
      <c r="J104" s="94">
        <v>108100</v>
      </c>
      <c r="K104" s="94">
        <v>119700</v>
      </c>
      <c r="Q104" s="122" t="s">
        <v>705</v>
      </c>
      <c r="R104" s="86">
        <v>3200</v>
      </c>
      <c r="S104" s="86">
        <v>3600</v>
      </c>
    </row>
    <row r="105" spans="1:19" ht="12" thickBot="1">
      <c r="A105" s="120" t="s">
        <v>1064</v>
      </c>
      <c r="B105" s="87">
        <v>2300</v>
      </c>
      <c r="C105" s="87">
        <v>0</v>
      </c>
      <c r="E105" s="123" t="s">
        <v>38</v>
      </c>
      <c r="F105" s="94">
        <v>75400</v>
      </c>
      <c r="G105" s="94">
        <v>84900</v>
      </c>
      <c r="H105" s="146"/>
      <c r="I105" s="131" t="s">
        <v>193</v>
      </c>
      <c r="J105" s="94">
        <v>113900</v>
      </c>
      <c r="K105" s="94">
        <v>126200</v>
      </c>
      <c r="Q105" s="204" t="s">
        <v>704</v>
      </c>
      <c r="R105" s="148">
        <v>4000</v>
      </c>
      <c r="S105" s="148">
        <v>5000</v>
      </c>
    </row>
    <row r="106" spans="1:19" ht="12" thickBot="1">
      <c r="A106" s="120" t="s">
        <v>1065</v>
      </c>
      <c r="B106" s="87">
        <v>3200</v>
      </c>
      <c r="C106" s="87">
        <v>0</v>
      </c>
      <c r="E106" s="123" t="s">
        <v>39</v>
      </c>
      <c r="F106" s="94">
        <v>81200</v>
      </c>
      <c r="G106" s="94">
        <v>91400</v>
      </c>
      <c r="H106" s="147"/>
      <c r="I106" s="131" t="s">
        <v>228</v>
      </c>
      <c r="J106" s="94">
        <v>119700</v>
      </c>
      <c r="K106" s="94">
        <v>132700</v>
      </c>
      <c r="Q106" s="229" t="s">
        <v>539</v>
      </c>
      <c r="R106" s="144"/>
      <c r="S106" s="102"/>
    </row>
    <row r="107" spans="1:19">
      <c r="A107" s="120" t="s">
        <v>1066</v>
      </c>
      <c r="B107" s="87">
        <v>4000</v>
      </c>
      <c r="C107" s="87">
        <v>0</v>
      </c>
      <c r="E107" s="123" t="s">
        <v>40</v>
      </c>
      <c r="F107" s="94">
        <v>87000</v>
      </c>
      <c r="G107" s="94">
        <v>97900</v>
      </c>
      <c r="H107" s="147"/>
      <c r="I107" s="131" t="s">
        <v>229</v>
      </c>
      <c r="J107" s="94">
        <v>124500</v>
      </c>
      <c r="K107" s="94">
        <v>137000</v>
      </c>
      <c r="Q107" s="135" t="s">
        <v>625</v>
      </c>
      <c r="R107" s="85">
        <v>5200</v>
      </c>
      <c r="S107" s="85">
        <v>6500</v>
      </c>
    </row>
    <row r="108" spans="1:19" ht="12" thickBot="1">
      <c r="A108" s="120" t="s">
        <v>1067</v>
      </c>
      <c r="B108" s="87">
        <v>5200</v>
      </c>
      <c r="C108" s="87">
        <v>0</v>
      </c>
      <c r="E108" s="123" t="s">
        <v>41</v>
      </c>
      <c r="F108" s="94">
        <v>92800</v>
      </c>
      <c r="G108" s="94">
        <v>102400</v>
      </c>
      <c r="H108" s="147"/>
      <c r="I108" s="131" t="s">
        <v>230</v>
      </c>
      <c r="J108" s="94">
        <v>131500</v>
      </c>
      <c r="K108" s="94">
        <v>146000</v>
      </c>
      <c r="Q108" s="137" t="s">
        <v>855</v>
      </c>
      <c r="R108" s="104">
        <v>6000</v>
      </c>
      <c r="S108" s="104">
        <v>7500</v>
      </c>
    </row>
    <row r="109" spans="1:19" ht="12" thickBot="1">
      <c r="A109" s="120" t="s">
        <v>1068</v>
      </c>
      <c r="B109" s="87">
        <v>6000</v>
      </c>
      <c r="C109" s="87">
        <v>0</v>
      </c>
      <c r="E109" s="123" t="s">
        <v>42</v>
      </c>
      <c r="F109" s="94">
        <v>97600</v>
      </c>
      <c r="G109" s="94">
        <v>108700</v>
      </c>
      <c r="H109" s="147"/>
      <c r="I109" s="131" t="s">
        <v>231</v>
      </c>
      <c r="J109" s="94">
        <v>135000</v>
      </c>
      <c r="K109" s="94">
        <v>148000</v>
      </c>
      <c r="Q109" s="202" t="s">
        <v>596</v>
      </c>
      <c r="R109" s="203" t="s">
        <v>995</v>
      </c>
      <c r="S109" s="102"/>
    </row>
    <row r="110" spans="1:19" ht="12" thickBot="1">
      <c r="A110" s="125" t="s">
        <v>1069</v>
      </c>
      <c r="B110" s="124">
        <v>7200</v>
      </c>
      <c r="C110" s="124">
        <v>0</v>
      </c>
      <c r="E110" s="123" t="s">
        <v>43</v>
      </c>
      <c r="F110" s="94">
        <v>104600</v>
      </c>
      <c r="G110" s="94">
        <v>117700</v>
      </c>
      <c r="Q110" s="135" t="s">
        <v>997</v>
      </c>
      <c r="R110" s="85">
        <v>6000</v>
      </c>
      <c r="S110" s="85">
        <v>7200</v>
      </c>
    </row>
    <row r="111" spans="1:19" ht="12" thickBot="1">
      <c r="A111" s="229" t="s">
        <v>821</v>
      </c>
      <c r="B111" s="121"/>
      <c r="C111" s="96"/>
      <c r="E111" s="123" t="s">
        <v>44</v>
      </c>
      <c r="F111" s="94">
        <v>108100</v>
      </c>
      <c r="G111" s="94">
        <v>119700</v>
      </c>
      <c r="Q111" s="122" t="s">
        <v>999</v>
      </c>
      <c r="R111" s="86">
        <v>7200</v>
      </c>
      <c r="S111" s="86">
        <v>8600</v>
      </c>
    </row>
    <row r="112" spans="1:19">
      <c r="A112" s="120" t="s">
        <v>1070</v>
      </c>
      <c r="B112" s="87">
        <v>1200</v>
      </c>
      <c r="C112" s="87">
        <v>0</v>
      </c>
      <c r="E112" s="123" t="s">
        <v>45</v>
      </c>
      <c r="F112" s="94">
        <v>113900</v>
      </c>
      <c r="G112" s="94">
        <v>126200</v>
      </c>
      <c r="Q112" s="122" t="s">
        <v>1001</v>
      </c>
      <c r="R112" s="86">
        <v>9000</v>
      </c>
      <c r="S112" s="86">
        <v>11000</v>
      </c>
    </row>
    <row r="113" spans="1:19">
      <c r="A113" s="120" t="s">
        <v>1071</v>
      </c>
      <c r="B113" s="87">
        <v>1600</v>
      </c>
      <c r="C113" s="87">
        <v>0</v>
      </c>
      <c r="E113" s="123" t="s">
        <v>46</v>
      </c>
      <c r="F113" s="94">
        <v>119700</v>
      </c>
      <c r="G113" s="94">
        <v>130700</v>
      </c>
      <c r="Q113" s="122" t="s">
        <v>1003</v>
      </c>
      <c r="R113" s="86">
        <v>10000</v>
      </c>
      <c r="S113" s="86">
        <v>12900</v>
      </c>
    </row>
    <row r="114" spans="1:19">
      <c r="A114" s="120" t="s">
        <v>1072</v>
      </c>
      <c r="B114" s="87">
        <v>2000</v>
      </c>
      <c r="C114" s="87">
        <v>0</v>
      </c>
      <c r="E114" s="123" t="s">
        <v>47</v>
      </c>
      <c r="F114" s="94">
        <v>124500</v>
      </c>
      <c r="G114" s="94">
        <v>137000</v>
      </c>
      <c r="Q114" s="122" t="s">
        <v>1008</v>
      </c>
      <c r="R114" s="86">
        <v>10000</v>
      </c>
      <c r="S114" s="86">
        <v>12900</v>
      </c>
    </row>
    <row r="115" spans="1:19">
      <c r="A115" s="120" t="s">
        <v>1073</v>
      </c>
      <c r="B115" s="87">
        <v>2300</v>
      </c>
      <c r="C115" s="87">
        <v>0</v>
      </c>
      <c r="E115" s="123" t="s">
        <v>48</v>
      </c>
      <c r="F115" s="94">
        <v>131500</v>
      </c>
      <c r="G115" s="94">
        <v>146000</v>
      </c>
      <c r="Q115" s="122" t="s">
        <v>1004</v>
      </c>
      <c r="R115" s="86">
        <v>11000</v>
      </c>
      <c r="S115" s="86">
        <v>13200</v>
      </c>
    </row>
    <row r="116" spans="1:19" ht="12" thickBot="1">
      <c r="A116" s="120" t="s">
        <v>1074</v>
      </c>
      <c r="B116" s="87">
        <v>2000</v>
      </c>
      <c r="C116" s="87">
        <v>0</v>
      </c>
      <c r="E116" s="123" t="s">
        <v>49</v>
      </c>
      <c r="F116" s="86">
        <v>135000</v>
      </c>
      <c r="G116" s="86">
        <v>148000</v>
      </c>
      <c r="Q116" s="122" t="s">
        <v>1010</v>
      </c>
      <c r="R116" s="86">
        <v>11000</v>
      </c>
      <c r="S116" s="86">
        <v>13200</v>
      </c>
    </row>
    <row r="117" spans="1:19" ht="12" thickBot="1">
      <c r="A117" s="120" t="s">
        <v>1075</v>
      </c>
      <c r="B117" s="87">
        <v>2300</v>
      </c>
      <c r="C117" s="87">
        <v>0</v>
      </c>
      <c r="E117" s="229" t="s">
        <v>551</v>
      </c>
      <c r="F117" s="144"/>
      <c r="G117" s="102"/>
      <c r="Q117" s="122" t="s">
        <v>1006</v>
      </c>
      <c r="R117" s="86">
        <v>13000</v>
      </c>
      <c r="S117" s="86">
        <v>15000</v>
      </c>
    </row>
    <row r="118" spans="1:19">
      <c r="A118" s="120" t="s">
        <v>1076</v>
      </c>
      <c r="B118" s="87">
        <v>3200</v>
      </c>
      <c r="C118" s="87">
        <v>0</v>
      </c>
      <c r="E118" s="123" t="s">
        <v>552</v>
      </c>
      <c r="F118" s="103">
        <v>23300</v>
      </c>
      <c r="G118" s="103">
        <v>25900</v>
      </c>
      <c r="Q118" s="122" t="s">
        <v>1012</v>
      </c>
      <c r="R118" s="86">
        <v>13000</v>
      </c>
      <c r="S118" s="86">
        <v>15000</v>
      </c>
    </row>
    <row r="119" spans="1:19" ht="12" thickBot="1">
      <c r="A119" s="120" t="s">
        <v>1077</v>
      </c>
      <c r="B119" s="87">
        <v>4000</v>
      </c>
      <c r="C119" s="87">
        <v>0</v>
      </c>
      <c r="E119" s="123" t="s">
        <v>553</v>
      </c>
      <c r="F119" s="86">
        <v>29200</v>
      </c>
      <c r="G119" s="86">
        <v>32800</v>
      </c>
      <c r="Q119" s="122" t="s">
        <v>1014</v>
      </c>
      <c r="R119" s="86">
        <v>14500</v>
      </c>
      <c r="S119" s="86">
        <v>16700</v>
      </c>
    </row>
    <row r="120" spans="1:19" ht="12" thickBot="1">
      <c r="A120" s="120" t="s">
        <v>1078</v>
      </c>
      <c r="B120" s="87">
        <v>5200</v>
      </c>
      <c r="C120" s="87">
        <v>0</v>
      </c>
      <c r="E120" s="123" t="s">
        <v>554</v>
      </c>
      <c r="F120" s="86">
        <v>34800</v>
      </c>
      <c r="G120" s="86">
        <v>39200</v>
      </c>
      <c r="Q120" s="202" t="s">
        <v>596</v>
      </c>
      <c r="R120" s="203" t="s">
        <v>671</v>
      </c>
      <c r="S120" s="102"/>
    </row>
    <row r="121" spans="1:19">
      <c r="A121" s="120" t="s">
        <v>1079</v>
      </c>
      <c r="B121" s="87">
        <v>6000</v>
      </c>
      <c r="C121" s="87">
        <v>0</v>
      </c>
      <c r="E121" s="123" t="s">
        <v>569</v>
      </c>
      <c r="F121" s="86">
        <v>40600</v>
      </c>
      <c r="G121" s="86">
        <v>45700</v>
      </c>
      <c r="Q121" s="123" t="s">
        <v>931</v>
      </c>
      <c r="R121" s="103">
        <v>7200</v>
      </c>
      <c r="S121" s="103">
        <v>9000</v>
      </c>
    </row>
    <row r="122" spans="1:19" ht="12" thickBot="1">
      <c r="A122" s="125" t="s">
        <v>1080</v>
      </c>
      <c r="B122" s="124">
        <v>7200</v>
      </c>
      <c r="C122" s="124">
        <v>0</v>
      </c>
      <c r="E122" s="123" t="s">
        <v>570</v>
      </c>
      <c r="F122" s="86">
        <v>46400</v>
      </c>
      <c r="G122" s="86">
        <v>52200</v>
      </c>
      <c r="Q122" s="123" t="s">
        <v>932</v>
      </c>
      <c r="R122" s="103">
        <v>9000</v>
      </c>
      <c r="S122" s="103">
        <v>11000</v>
      </c>
    </row>
    <row r="123" spans="1:19" ht="12" thickBot="1">
      <c r="A123" s="229" t="s">
        <v>281</v>
      </c>
      <c r="B123" s="121"/>
      <c r="C123" s="96"/>
      <c r="E123" s="123" t="s">
        <v>555</v>
      </c>
      <c r="F123" s="86">
        <v>52200</v>
      </c>
      <c r="G123" s="86">
        <v>58700</v>
      </c>
      <c r="Q123" s="123" t="s">
        <v>933</v>
      </c>
      <c r="R123" s="103">
        <v>10000</v>
      </c>
      <c r="S123" s="103">
        <v>12900</v>
      </c>
    </row>
    <row r="124" spans="1:19">
      <c r="A124" s="131" t="s">
        <v>523</v>
      </c>
      <c r="B124" s="132">
        <v>2300</v>
      </c>
      <c r="C124" s="132">
        <v>0</v>
      </c>
      <c r="E124" s="123" t="s">
        <v>556</v>
      </c>
      <c r="F124" s="86">
        <v>57000</v>
      </c>
      <c r="G124" s="86">
        <v>63000</v>
      </c>
      <c r="Q124" s="123" t="s">
        <v>936</v>
      </c>
      <c r="R124" s="103">
        <v>10000</v>
      </c>
      <c r="S124" s="103">
        <v>12900</v>
      </c>
    </row>
    <row r="125" spans="1:19">
      <c r="A125" s="120" t="s">
        <v>524</v>
      </c>
      <c r="B125" s="87">
        <v>3200</v>
      </c>
      <c r="C125" s="87">
        <v>0</v>
      </c>
      <c r="E125" s="123" t="s">
        <v>571</v>
      </c>
      <c r="F125" s="86">
        <v>64000</v>
      </c>
      <c r="G125" s="86">
        <v>72000</v>
      </c>
      <c r="Q125" s="123" t="s">
        <v>934</v>
      </c>
      <c r="R125" s="103">
        <v>11000</v>
      </c>
      <c r="S125" s="103">
        <v>13200</v>
      </c>
    </row>
    <row r="126" spans="1:19">
      <c r="A126" s="120" t="s">
        <v>525</v>
      </c>
      <c r="B126" s="87">
        <v>4000</v>
      </c>
      <c r="C126" s="87">
        <v>0</v>
      </c>
      <c r="E126" s="123" t="s">
        <v>572</v>
      </c>
      <c r="F126" s="86">
        <v>69600</v>
      </c>
      <c r="G126" s="86">
        <v>78400</v>
      </c>
      <c r="Q126" s="123" t="s">
        <v>937</v>
      </c>
      <c r="R126" s="103">
        <v>11000</v>
      </c>
      <c r="S126" s="103">
        <v>13200</v>
      </c>
    </row>
    <row r="127" spans="1:19" ht="12" thickBot="1">
      <c r="A127" s="125" t="s">
        <v>526</v>
      </c>
      <c r="B127" s="124">
        <v>5200</v>
      </c>
      <c r="C127" s="124">
        <v>0</v>
      </c>
      <c r="D127" s="113"/>
      <c r="E127" s="123" t="s">
        <v>557</v>
      </c>
      <c r="F127" s="86">
        <v>75400</v>
      </c>
      <c r="G127" s="86">
        <v>84900</v>
      </c>
      <c r="Q127" s="123" t="s">
        <v>935</v>
      </c>
      <c r="R127" s="86">
        <v>13000</v>
      </c>
      <c r="S127" s="86">
        <v>15000</v>
      </c>
    </row>
    <row r="128" spans="1:19">
      <c r="A128" s="288" t="s">
        <v>487</v>
      </c>
      <c r="B128" s="289"/>
      <c r="C128" s="290"/>
      <c r="D128" s="113"/>
      <c r="E128" s="123" t="s">
        <v>558</v>
      </c>
      <c r="F128" s="86">
        <v>81200</v>
      </c>
      <c r="G128" s="86">
        <v>91400</v>
      </c>
      <c r="Q128" s="123" t="s">
        <v>938</v>
      </c>
      <c r="R128" s="86">
        <v>13000</v>
      </c>
      <c r="S128" s="86">
        <v>15000</v>
      </c>
    </row>
    <row r="129" spans="1:19" ht="12" thickBot="1">
      <c r="A129" s="240" t="s">
        <v>488</v>
      </c>
      <c r="B129" s="240" t="s">
        <v>489</v>
      </c>
      <c r="C129" s="240" t="s">
        <v>490</v>
      </c>
      <c r="D129" s="113"/>
      <c r="E129" s="123" t="s">
        <v>559</v>
      </c>
      <c r="F129" s="86">
        <v>87000</v>
      </c>
      <c r="G129" s="86">
        <v>97900</v>
      </c>
      <c r="Q129" s="123" t="s">
        <v>939</v>
      </c>
      <c r="R129" s="103">
        <v>14500</v>
      </c>
      <c r="S129" s="103">
        <v>16700</v>
      </c>
    </row>
    <row r="130" spans="1:19" ht="12" thickBot="1">
      <c r="A130" s="256" t="s">
        <v>491</v>
      </c>
      <c r="B130" s="257"/>
      <c r="C130" s="258"/>
      <c r="D130" s="113"/>
      <c r="E130" s="123" t="s">
        <v>560</v>
      </c>
      <c r="F130" s="86">
        <v>91800</v>
      </c>
      <c r="G130" s="86">
        <v>102200</v>
      </c>
      <c r="H130" s="113"/>
      <c r="Q130" s="229" t="s">
        <v>540</v>
      </c>
      <c r="R130" s="144"/>
      <c r="S130" s="102"/>
    </row>
    <row r="131" spans="1:19">
      <c r="A131" s="120" t="s">
        <v>492</v>
      </c>
      <c r="B131" s="87">
        <v>2400</v>
      </c>
      <c r="C131" s="87">
        <v>4300</v>
      </c>
      <c r="D131" s="113"/>
      <c r="E131" s="123" t="s">
        <v>561</v>
      </c>
      <c r="F131" s="86">
        <v>97600</v>
      </c>
      <c r="G131" s="86">
        <v>108700</v>
      </c>
      <c r="H131" s="113"/>
      <c r="Q131" s="122" t="s">
        <v>1131</v>
      </c>
      <c r="R131" s="86">
        <v>11000</v>
      </c>
      <c r="S131" s="86">
        <v>13200</v>
      </c>
    </row>
    <row r="132" spans="1:19" ht="12" thickBot="1">
      <c r="A132" s="120" t="s">
        <v>493</v>
      </c>
      <c r="B132" s="87">
        <v>2400</v>
      </c>
      <c r="C132" s="87">
        <v>4300</v>
      </c>
      <c r="D132" s="113"/>
      <c r="E132" s="123" t="s">
        <v>562</v>
      </c>
      <c r="F132" s="86">
        <v>103400</v>
      </c>
      <c r="G132" s="86">
        <v>115200</v>
      </c>
      <c r="H132" s="113"/>
      <c r="Q132" s="122" t="s">
        <v>1132</v>
      </c>
      <c r="R132" s="86">
        <v>14500</v>
      </c>
      <c r="S132" s="86">
        <v>16700</v>
      </c>
    </row>
    <row r="133" spans="1:19" ht="12" thickBot="1">
      <c r="A133" s="120" t="s">
        <v>494</v>
      </c>
      <c r="B133" s="87">
        <v>3200</v>
      </c>
      <c r="C133" s="87">
        <v>5200</v>
      </c>
      <c r="D133" s="113"/>
      <c r="E133" s="123" t="s">
        <v>563</v>
      </c>
      <c r="F133" s="86">
        <v>109200</v>
      </c>
      <c r="G133" s="86">
        <v>121700</v>
      </c>
      <c r="H133" s="113"/>
      <c r="Q133" s="229" t="s">
        <v>281</v>
      </c>
      <c r="R133" s="144"/>
      <c r="S133" s="102"/>
    </row>
    <row r="134" spans="1:19">
      <c r="A134" s="120" t="s">
        <v>495</v>
      </c>
      <c r="B134" s="87">
        <v>3200</v>
      </c>
      <c r="C134" s="87">
        <v>5200</v>
      </c>
      <c r="E134" s="123" t="s">
        <v>564</v>
      </c>
      <c r="F134" s="86">
        <v>114000</v>
      </c>
      <c r="G134" s="86">
        <v>126000</v>
      </c>
      <c r="H134" s="113"/>
      <c r="Q134" s="122" t="s">
        <v>1035</v>
      </c>
      <c r="R134" s="86">
        <v>2700</v>
      </c>
      <c r="S134" s="86">
        <v>3200</v>
      </c>
    </row>
    <row r="135" spans="1:19">
      <c r="A135" s="120" t="s">
        <v>496</v>
      </c>
      <c r="B135" s="87">
        <v>4150</v>
      </c>
      <c r="C135" s="87">
        <v>6800</v>
      </c>
      <c r="E135" s="123" t="s">
        <v>565</v>
      </c>
      <c r="F135" s="86">
        <v>121800</v>
      </c>
      <c r="G135" s="86">
        <v>137100</v>
      </c>
      <c r="Q135" s="122" t="s">
        <v>1036</v>
      </c>
      <c r="R135" s="86">
        <v>3000</v>
      </c>
      <c r="S135" s="86">
        <v>3800</v>
      </c>
    </row>
    <row r="136" spans="1:19">
      <c r="A136" s="120" t="s">
        <v>497</v>
      </c>
      <c r="B136" s="87">
        <v>4150</v>
      </c>
      <c r="C136" s="87">
        <v>6800</v>
      </c>
      <c r="E136" s="123" t="s">
        <v>566</v>
      </c>
      <c r="F136" s="86">
        <v>126600</v>
      </c>
      <c r="G136" s="86">
        <v>141400</v>
      </c>
      <c r="Q136" s="122" t="s">
        <v>1037</v>
      </c>
      <c r="R136" s="86">
        <v>3600</v>
      </c>
      <c r="S136" s="86">
        <v>4300</v>
      </c>
    </row>
    <row r="137" spans="1:19">
      <c r="A137" s="125" t="s">
        <v>498</v>
      </c>
      <c r="B137" s="124">
        <v>4700</v>
      </c>
      <c r="C137" s="124">
        <v>7800</v>
      </c>
      <c r="E137" s="123" t="s">
        <v>567</v>
      </c>
      <c r="F137" s="86">
        <v>132400</v>
      </c>
      <c r="G137" s="86">
        <v>147900</v>
      </c>
      <c r="Q137" s="122" t="s">
        <v>1038</v>
      </c>
      <c r="R137" s="86">
        <v>4700</v>
      </c>
      <c r="S137" s="86">
        <v>5600</v>
      </c>
    </row>
    <row r="138" spans="1:19" ht="12" thickBot="1">
      <c r="A138" s="125" t="s">
        <v>499</v>
      </c>
      <c r="B138" s="124">
        <v>4700</v>
      </c>
      <c r="C138" s="124">
        <v>7800</v>
      </c>
      <c r="E138" s="123" t="s">
        <v>568</v>
      </c>
      <c r="F138" s="86">
        <v>138200</v>
      </c>
      <c r="G138" s="86">
        <v>154400</v>
      </c>
      <c r="Q138" s="122" t="s">
        <v>1039</v>
      </c>
      <c r="R138" s="86">
        <v>5200</v>
      </c>
      <c r="S138" s="86">
        <v>6300</v>
      </c>
    </row>
    <row r="139" spans="1:19" ht="12" thickBot="1">
      <c r="A139" s="256" t="s">
        <v>500</v>
      </c>
      <c r="B139" s="257"/>
      <c r="C139" s="258"/>
      <c r="E139" s="229" t="s">
        <v>232</v>
      </c>
      <c r="F139" s="121"/>
      <c r="G139" s="96"/>
      <c r="Q139" s="137" t="s">
        <v>1040</v>
      </c>
      <c r="R139" s="104">
        <v>6500</v>
      </c>
      <c r="S139" s="104">
        <v>7600</v>
      </c>
    </row>
    <row r="140" spans="1:19">
      <c r="A140" s="197" t="s">
        <v>501</v>
      </c>
      <c r="B140" s="93">
        <v>4600</v>
      </c>
      <c r="C140" s="93">
        <v>7000</v>
      </c>
      <c r="E140" s="123" t="s">
        <v>253</v>
      </c>
      <c r="F140" s="101">
        <v>23300</v>
      </c>
      <c r="G140" s="101">
        <v>25900</v>
      </c>
      <c r="Q140" s="135" t="s">
        <v>1041</v>
      </c>
      <c r="R140" s="85">
        <v>2300</v>
      </c>
      <c r="S140" s="85">
        <v>0</v>
      </c>
    </row>
    <row r="141" spans="1:19" ht="12" thickBot="1">
      <c r="A141" s="125" t="s">
        <v>502</v>
      </c>
      <c r="B141" s="124">
        <v>5100</v>
      </c>
      <c r="C141" s="124">
        <v>7900</v>
      </c>
      <c r="E141" s="123" t="s">
        <v>254</v>
      </c>
      <c r="F141" s="94">
        <v>29200</v>
      </c>
      <c r="G141" s="94">
        <v>32800</v>
      </c>
      <c r="Q141" s="122" t="s">
        <v>1042</v>
      </c>
      <c r="R141" s="86">
        <v>2800</v>
      </c>
      <c r="S141" s="86">
        <v>0</v>
      </c>
    </row>
    <row r="142" spans="1:19" ht="12" thickBot="1">
      <c r="A142" s="256" t="s">
        <v>503</v>
      </c>
      <c r="B142" s="257"/>
      <c r="C142" s="258"/>
      <c r="E142" s="123" t="s">
        <v>255</v>
      </c>
      <c r="F142" s="94">
        <v>34800</v>
      </c>
      <c r="G142" s="94">
        <v>39200</v>
      </c>
      <c r="Q142" s="122" t="s">
        <v>1043</v>
      </c>
      <c r="R142" s="86">
        <v>3600</v>
      </c>
      <c r="S142" s="86">
        <v>0</v>
      </c>
    </row>
    <row r="143" spans="1:19">
      <c r="A143" s="197" t="s">
        <v>504</v>
      </c>
      <c r="B143" s="93">
        <v>4100</v>
      </c>
      <c r="C143" s="93">
        <v>7300</v>
      </c>
      <c r="E143" s="123" t="s">
        <v>256</v>
      </c>
      <c r="F143" s="94">
        <v>39200</v>
      </c>
      <c r="G143" s="94">
        <v>45700</v>
      </c>
      <c r="Q143" s="122" t="s">
        <v>1044</v>
      </c>
      <c r="R143" s="86">
        <v>4200</v>
      </c>
      <c r="S143" s="86">
        <v>0</v>
      </c>
    </row>
    <row r="144" spans="1:19">
      <c r="A144" s="120" t="s">
        <v>505</v>
      </c>
      <c r="B144" s="87">
        <v>6000</v>
      </c>
      <c r="C144" s="87">
        <v>11500</v>
      </c>
      <c r="E144" s="123" t="s">
        <v>257</v>
      </c>
      <c r="F144" s="94">
        <v>46400</v>
      </c>
      <c r="G144" s="94">
        <v>52200</v>
      </c>
      <c r="Q144" s="122" t="s">
        <v>1045</v>
      </c>
      <c r="R144" s="86">
        <v>5200</v>
      </c>
      <c r="S144" s="86">
        <v>0</v>
      </c>
    </row>
    <row r="145" spans="1:19" ht="12" thickBot="1">
      <c r="A145" s="120" t="s">
        <v>506</v>
      </c>
      <c r="B145" s="87">
        <v>7200</v>
      </c>
      <c r="C145" s="87">
        <v>12500</v>
      </c>
      <c r="E145" s="123" t="s">
        <v>258</v>
      </c>
      <c r="F145" s="86">
        <v>52200</v>
      </c>
      <c r="G145" s="86">
        <v>56700</v>
      </c>
      <c r="Q145" s="137" t="s">
        <v>1046</v>
      </c>
      <c r="R145" s="104">
        <v>6500</v>
      </c>
      <c r="S145" s="104">
        <v>0</v>
      </c>
    </row>
    <row r="146" spans="1:19">
      <c r="A146" s="120" t="s">
        <v>507</v>
      </c>
      <c r="B146" s="87">
        <v>9000</v>
      </c>
      <c r="C146" s="87">
        <v>15000</v>
      </c>
      <c r="E146" s="123" t="s">
        <v>259</v>
      </c>
      <c r="F146" s="86">
        <v>57000</v>
      </c>
      <c r="G146" s="86">
        <v>63000</v>
      </c>
      <c r="Q146" s="291" t="s">
        <v>282</v>
      </c>
      <c r="R146" s="292"/>
      <c r="S146" s="293"/>
    </row>
    <row r="147" spans="1:19" ht="12" thickBot="1">
      <c r="A147" s="120" t="s">
        <v>508</v>
      </c>
      <c r="B147" s="87">
        <v>10500</v>
      </c>
      <c r="C147" s="87">
        <v>18000</v>
      </c>
      <c r="E147" s="123" t="s">
        <v>260</v>
      </c>
      <c r="F147" s="86">
        <v>64000</v>
      </c>
      <c r="G147" s="86">
        <v>72000</v>
      </c>
      <c r="Q147" s="143" t="s">
        <v>84</v>
      </c>
      <c r="R147" s="140" t="s">
        <v>104</v>
      </c>
      <c r="S147" s="140" t="s">
        <v>25</v>
      </c>
    </row>
    <row r="148" spans="1:19" ht="12" thickBot="1">
      <c r="A148" s="120" t="s">
        <v>509</v>
      </c>
      <c r="B148" s="87">
        <v>13000</v>
      </c>
      <c r="C148" s="87">
        <v>23000</v>
      </c>
      <c r="E148" s="123" t="s">
        <v>261</v>
      </c>
      <c r="F148" s="86">
        <v>67500</v>
      </c>
      <c r="G148" s="86">
        <v>74000</v>
      </c>
      <c r="Q148" s="229" t="s">
        <v>220</v>
      </c>
      <c r="R148" s="144"/>
      <c r="S148" s="102"/>
    </row>
    <row r="149" spans="1:19" ht="12" thickBot="1">
      <c r="A149" s="256" t="s">
        <v>599</v>
      </c>
      <c r="B149" s="257"/>
      <c r="C149" s="258"/>
      <c r="E149" s="123" t="s">
        <v>262</v>
      </c>
      <c r="F149" s="86">
        <v>72800</v>
      </c>
      <c r="G149" s="86">
        <v>81900</v>
      </c>
      <c r="Q149" s="135" t="s">
        <v>285</v>
      </c>
      <c r="R149" s="85">
        <v>6500</v>
      </c>
      <c r="S149" s="85">
        <v>0</v>
      </c>
    </row>
    <row r="150" spans="1:19">
      <c r="A150" s="197" t="s">
        <v>618</v>
      </c>
      <c r="B150" s="93">
        <v>3900</v>
      </c>
      <c r="C150" s="93">
        <v>6600</v>
      </c>
      <c r="E150" s="123" t="s">
        <v>263</v>
      </c>
      <c r="F150" s="86">
        <v>74000</v>
      </c>
      <c r="G150" s="86">
        <v>84900</v>
      </c>
      <c r="Q150" s="122" t="s">
        <v>286</v>
      </c>
      <c r="R150" s="86">
        <v>7200</v>
      </c>
      <c r="S150" s="86">
        <v>0</v>
      </c>
    </row>
    <row r="151" spans="1:19">
      <c r="A151" s="120" t="s">
        <v>619</v>
      </c>
      <c r="B151" s="87">
        <v>5000</v>
      </c>
      <c r="C151" s="87">
        <v>8400</v>
      </c>
      <c r="E151" s="123" t="s">
        <v>617</v>
      </c>
      <c r="F151" s="86">
        <v>78400</v>
      </c>
      <c r="G151" s="86">
        <v>88200</v>
      </c>
      <c r="Q151" s="122" t="s">
        <v>287</v>
      </c>
      <c r="R151" s="86">
        <v>8100</v>
      </c>
      <c r="S151" s="86">
        <v>0</v>
      </c>
    </row>
    <row r="152" spans="1:19" ht="12" thickBot="1">
      <c r="A152" s="120" t="s">
        <v>620</v>
      </c>
      <c r="B152" s="87">
        <v>6600</v>
      </c>
      <c r="C152" s="87">
        <v>11200</v>
      </c>
      <c r="E152" s="123" t="s">
        <v>264</v>
      </c>
      <c r="F152" s="86">
        <v>78400</v>
      </c>
      <c r="G152" s="86">
        <v>91400</v>
      </c>
      <c r="Q152" s="122" t="s">
        <v>288</v>
      </c>
      <c r="R152" s="86">
        <v>8300</v>
      </c>
      <c r="S152" s="86">
        <v>0</v>
      </c>
    </row>
    <row r="153" spans="1:19" ht="12" thickBot="1">
      <c r="A153" s="256" t="s">
        <v>600</v>
      </c>
      <c r="B153" s="257"/>
      <c r="C153" s="258"/>
      <c r="E153" s="123" t="s">
        <v>265</v>
      </c>
      <c r="F153" s="86">
        <v>85600</v>
      </c>
      <c r="G153" s="86">
        <v>97900</v>
      </c>
      <c r="Q153" s="122" t="s">
        <v>289</v>
      </c>
      <c r="R153" s="86">
        <v>9000</v>
      </c>
      <c r="S153" s="86">
        <v>0</v>
      </c>
    </row>
    <row r="154" spans="1:19" ht="12" thickBot="1">
      <c r="A154" s="197" t="s">
        <v>601</v>
      </c>
      <c r="B154" s="93">
        <v>5000</v>
      </c>
      <c r="C154" s="93">
        <v>9000</v>
      </c>
      <c r="E154" s="123" t="s">
        <v>266</v>
      </c>
      <c r="F154" s="86">
        <v>91400</v>
      </c>
      <c r="G154" s="86">
        <v>102400</v>
      </c>
      <c r="Q154" s="229" t="s">
        <v>281</v>
      </c>
      <c r="R154" s="144"/>
      <c r="S154" s="102"/>
    </row>
    <row r="155" spans="1:19">
      <c r="A155" s="120" t="s">
        <v>602</v>
      </c>
      <c r="B155" s="87">
        <v>6000</v>
      </c>
      <c r="C155" s="87">
        <v>10000</v>
      </c>
      <c r="E155" s="123" t="s">
        <v>267</v>
      </c>
      <c r="F155" s="86">
        <v>96200</v>
      </c>
      <c r="G155" s="86">
        <v>108700</v>
      </c>
      <c r="J155" s="113"/>
      <c r="K155" s="113"/>
      <c r="Q155" s="135" t="s">
        <v>290</v>
      </c>
      <c r="R155" s="85">
        <v>2300</v>
      </c>
      <c r="S155" s="85">
        <v>0</v>
      </c>
    </row>
    <row r="156" spans="1:19">
      <c r="A156" s="120" t="s">
        <v>603</v>
      </c>
      <c r="B156" s="87">
        <v>8000</v>
      </c>
      <c r="C156" s="87">
        <v>14000</v>
      </c>
      <c r="E156" s="123" t="s">
        <v>268</v>
      </c>
      <c r="F156" s="86">
        <v>103200</v>
      </c>
      <c r="G156" s="86">
        <v>117700</v>
      </c>
      <c r="J156" s="113"/>
      <c r="K156" s="113"/>
      <c r="Q156" s="122" t="s">
        <v>291</v>
      </c>
      <c r="R156" s="86">
        <v>2300</v>
      </c>
      <c r="S156" s="86">
        <v>0</v>
      </c>
    </row>
    <row r="157" spans="1:19">
      <c r="A157" s="120" t="s">
        <v>604</v>
      </c>
      <c r="B157" s="87">
        <v>9500</v>
      </c>
      <c r="C157" s="87">
        <v>17000</v>
      </c>
      <c r="E157" s="123" t="s">
        <v>269</v>
      </c>
      <c r="F157" s="86">
        <v>106700</v>
      </c>
      <c r="G157" s="86">
        <v>119700</v>
      </c>
      <c r="J157" s="113"/>
      <c r="K157" s="113"/>
      <c r="Q157" s="122" t="s">
        <v>292</v>
      </c>
      <c r="R157" s="86">
        <v>2300</v>
      </c>
      <c r="S157" s="86">
        <v>0</v>
      </c>
    </row>
    <row r="158" spans="1:19">
      <c r="A158" s="120" t="s">
        <v>605</v>
      </c>
      <c r="B158" s="87">
        <v>11000</v>
      </c>
      <c r="C158" s="87">
        <v>19000</v>
      </c>
      <c r="E158" s="123" t="s">
        <v>270</v>
      </c>
      <c r="F158" s="86">
        <v>113900</v>
      </c>
      <c r="G158" s="86">
        <v>126200</v>
      </c>
      <c r="J158" s="113"/>
      <c r="K158" s="113"/>
      <c r="Q158" s="122" t="s">
        <v>293</v>
      </c>
      <c r="R158" s="86">
        <v>2800</v>
      </c>
      <c r="S158" s="86">
        <v>0</v>
      </c>
    </row>
    <row r="159" spans="1:19">
      <c r="A159" s="120" t="s">
        <v>606</v>
      </c>
      <c r="B159" s="87">
        <v>12500</v>
      </c>
      <c r="C159" s="87">
        <v>21000</v>
      </c>
      <c r="E159" s="123" t="s">
        <v>271</v>
      </c>
      <c r="F159" s="86">
        <v>119700</v>
      </c>
      <c r="G159" s="86">
        <v>130700</v>
      </c>
      <c r="J159" s="113"/>
      <c r="K159" s="113"/>
      <c r="Q159" s="122" t="s">
        <v>294</v>
      </c>
      <c r="R159" s="86">
        <v>2800</v>
      </c>
      <c r="S159" s="86">
        <v>0</v>
      </c>
    </row>
    <row r="160" spans="1:19" ht="12" thickBot="1">
      <c r="A160" s="120" t="s">
        <v>607</v>
      </c>
      <c r="B160" s="87">
        <v>14000</v>
      </c>
      <c r="C160" s="87">
        <v>23000</v>
      </c>
      <c r="E160" s="123" t="s">
        <v>272</v>
      </c>
      <c r="F160" s="86">
        <v>124500</v>
      </c>
      <c r="G160" s="86">
        <v>137000</v>
      </c>
    </row>
    <row r="161" spans="1:7" ht="12" thickBot="1">
      <c r="A161" s="256" t="s">
        <v>608</v>
      </c>
      <c r="B161" s="257"/>
      <c r="C161" s="258"/>
      <c r="E161" s="123" t="s">
        <v>273</v>
      </c>
      <c r="F161" s="86">
        <v>131500</v>
      </c>
      <c r="G161" s="86">
        <v>146000</v>
      </c>
    </row>
    <row r="162" spans="1:7" ht="12" thickBot="1">
      <c r="A162" s="197" t="s">
        <v>609</v>
      </c>
      <c r="B162" s="93">
        <v>5000</v>
      </c>
      <c r="C162" s="93">
        <v>9000</v>
      </c>
      <c r="E162" s="123" t="s">
        <v>274</v>
      </c>
      <c r="F162" s="94">
        <v>135000</v>
      </c>
      <c r="G162" s="94">
        <v>148000</v>
      </c>
    </row>
    <row r="163" spans="1:7" ht="12" thickBot="1">
      <c r="A163" s="120" t="s">
        <v>610</v>
      </c>
      <c r="B163" s="87">
        <v>6000</v>
      </c>
      <c r="C163" s="87">
        <v>10000</v>
      </c>
      <c r="E163" s="229" t="s">
        <v>594</v>
      </c>
      <c r="F163" s="121"/>
      <c r="G163" s="96"/>
    </row>
    <row r="164" spans="1:7">
      <c r="A164" s="120" t="s">
        <v>611</v>
      </c>
      <c r="B164" s="87">
        <v>8000</v>
      </c>
      <c r="C164" s="87">
        <v>14000</v>
      </c>
      <c r="E164" s="123" t="s">
        <v>275</v>
      </c>
      <c r="F164" s="94">
        <v>29200</v>
      </c>
      <c r="G164" s="94">
        <v>32800</v>
      </c>
    </row>
    <row r="165" spans="1:7">
      <c r="A165" s="120" t="s">
        <v>612</v>
      </c>
      <c r="B165" s="87">
        <v>9500</v>
      </c>
      <c r="C165" s="87">
        <v>17000</v>
      </c>
      <c r="E165" s="123" t="s">
        <v>276</v>
      </c>
      <c r="F165" s="94">
        <v>34800</v>
      </c>
      <c r="G165" s="94">
        <v>39200</v>
      </c>
    </row>
    <row r="166" spans="1:7">
      <c r="A166" s="120" t="s">
        <v>613</v>
      </c>
      <c r="B166" s="87">
        <v>11000</v>
      </c>
      <c r="C166" s="87">
        <v>19000</v>
      </c>
      <c r="E166" s="123" t="s">
        <v>277</v>
      </c>
      <c r="F166" s="94">
        <v>39200</v>
      </c>
      <c r="G166" s="94">
        <v>45700</v>
      </c>
    </row>
    <row r="167" spans="1:7">
      <c r="A167" s="120" t="s">
        <v>614</v>
      </c>
      <c r="B167" s="87">
        <v>12500</v>
      </c>
      <c r="C167" s="87">
        <v>21000</v>
      </c>
      <c r="E167" s="123" t="s">
        <v>278</v>
      </c>
      <c r="F167" s="94">
        <v>46400</v>
      </c>
      <c r="G167" s="94">
        <v>52200</v>
      </c>
    </row>
    <row r="168" spans="1:7" ht="12" thickBot="1">
      <c r="A168" s="120" t="s">
        <v>615</v>
      </c>
      <c r="B168" s="87">
        <v>14000</v>
      </c>
      <c r="C168" s="87">
        <v>23000</v>
      </c>
      <c r="E168" s="123" t="s">
        <v>279</v>
      </c>
      <c r="F168" s="94">
        <v>52200</v>
      </c>
      <c r="G168" s="94">
        <v>56700</v>
      </c>
    </row>
    <row r="169" spans="1:7" ht="12" thickBot="1">
      <c r="A169" s="256" t="s">
        <v>514</v>
      </c>
      <c r="B169" s="257"/>
      <c r="C169" s="258"/>
      <c r="E169" s="123" t="s">
        <v>280</v>
      </c>
      <c r="F169" s="94">
        <v>57000</v>
      </c>
      <c r="G169" s="94">
        <v>63000</v>
      </c>
    </row>
    <row r="170" spans="1:7" ht="12" thickBot="1">
      <c r="A170" s="197" t="s">
        <v>511</v>
      </c>
      <c r="B170" s="93">
        <v>3900</v>
      </c>
      <c r="C170" s="93">
        <v>6600</v>
      </c>
      <c r="E170" s="229" t="s">
        <v>951</v>
      </c>
      <c r="F170" s="121"/>
      <c r="G170" s="96"/>
    </row>
    <row r="171" spans="1:7">
      <c r="A171" s="120" t="s">
        <v>512</v>
      </c>
      <c r="B171" s="87">
        <v>5000</v>
      </c>
      <c r="C171" s="87">
        <v>8400</v>
      </c>
      <c r="E171" s="123" t="s">
        <v>795</v>
      </c>
      <c r="F171" s="101">
        <v>23300</v>
      </c>
      <c r="G171" s="101">
        <v>25900</v>
      </c>
    </row>
    <row r="172" spans="1:7" ht="12" thickBot="1">
      <c r="A172" s="120" t="s">
        <v>513</v>
      </c>
      <c r="B172" s="87">
        <v>6600</v>
      </c>
      <c r="C172" s="87">
        <v>11200</v>
      </c>
      <c r="E172" s="123" t="s">
        <v>796</v>
      </c>
      <c r="F172" s="94">
        <v>29200</v>
      </c>
      <c r="G172" s="94">
        <v>32800</v>
      </c>
    </row>
    <row r="173" spans="1:7" ht="12" thickBot="1">
      <c r="A173" s="256" t="s">
        <v>515</v>
      </c>
      <c r="B173" s="257"/>
      <c r="C173" s="258"/>
      <c r="E173" s="123" t="s">
        <v>797</v>
      </c>
      <c r="F173" s="94">
        <v>34800</v>
      </c>
      <c r="G173" s="94">
        <v>39200</v>
      </c>
    </row>
    <row r="174" spans="1:7">
      <c r="A174" s="120" t="s">
        <v>516</v>
      </c>
      <c r="B174" s="87">
        <v>2900</v>
      </c>
      <c r="C174" s="87">
        <v>4900</v>
      </c>
      <c r="E174" s="123" t="s">
        <v>798</v>
      </c>
      <c r="F174" s="94">
        <v>40600</v>
      </c>
      <c r="G174" s="94">
        <v>45700</v>
      </c>
    </row>
    <row r="175" spans="1:7">
      <c r="A175" s="120" t="s">
        <v>517</v>
      </c>
      <c r="B175" s="87">
        <v>3800</v>
      </c>
      <c r="C175" s="87">
        <v>6500</v>
      </c>
      <c r="E175" s="123" t="s">
        <v>799</v>
      </c>
      <c r="F175" s="94">
        <v>46400</v>
      </c>
      <c r="G175" s="94">
        <v>52200</v>
      </c>
    </row>
    <row r="176" spans="1:7">
      <c r="A176" s="120" t="s">
        <v>518</v>
      </c>
      <c r="B176" s="87">
        <v>4200</v>
      </c>
      <c r="C176" s="87">
        <v>7300</v>
      </c>
      <c r="E176" s="123" t="s">
        <v>800</v>
      </c>
      <c r="F176" s="94">
        <v>52200</v>
      </c>
      <c r="G176" s="94">
        <v>58700</v>
      </c>
    </row>
    <row r="177" spans="1:7">
      <c r="A177" s="120" t="s">
        <v>519</v>
      </c>
      <c r="B177" s="87">
        <v>5000</v>
      </c>
      <c r="C177" s="87">
        <v>8700</v>
      </c>
      <c r="E177" s="123" t="s">
        <v>801</v>
      </c>
      <c r="F177" s="94">
        <v>57000</v>
      </c>
      <c r="G177" s="94">
        <v>63000</v>
      </c>
    </row>
    <row r="178" spans="1:7">
      <c r="A178" s="120" t="s">
        <v>520</v>
      </c>
      <c r="B178" s="87">
        <v>5700</v>
      </c>
      <c r="C178" s="87">
        <v>10300</v>
      </c>
      <c r="E178" s="123" t="s">
        <v>802</v>
      </c>
      <c r="F178" s="94">
        <v>64000</v>
      </c>
      <c r="G178" s="94">
        <v>72000</v>
      </c>
    </row>
    <row r="179" spans="1:7">
      <c r="A179" s="267" t="s">
        <v>510</v>
      </c>
      <c r="B179" s="268"/>
      <c r="C179" s="269"/>
      <c r="E179" s="123" t="s">
        <v>803</v>
      </c>
      <c r="F179" s="94">
        <v>69600</v>
      </c>
      <c r="G179" s="94">
        <v>78400</v>
      </c>
    </row>
    <row r="180" spans="1:7" ht="12" thickBot="1">
      <c r="A180" s="201" t="s">
        <v>488</v>
      </c>
      <c r="B180" s="201" t="s">
        <v>489</v>
      </c>
      <c r="C180" s="201" t="s">
        <v>490</v>
      </c>
      <c r="E180" s="123" t="s">
        <v>804</v>
      </c>
      <c r="F180" s="94">
        <v>75600</v>
      </c>
      <c r="G180" s="94">
        <v>85000</v>
      </c>
    </row>
    <row r="181" spans="1:7" ht="12" thickBot="1">
      <c r="A181" s="256" t="s">
        <v>491</v>
      </c>
      <c r="B181" s="257"/>
      <c r="C181" s="258"/>
      <c r="E181" s="123" t="s">
        <v>805</v>
      </c>
      <c r="F181" s="94">
        <v>81200</v>
      </c>
      <c r="G181" s="94">
        <v>91400</v>
      </c>
    </row>
    <row r="182" spans="1:7">
      <c r="A182" s="120" t="s">
        <v>492</v>
      </c>
      <c r="B182" s="87">
        <v>2600</v>
      </c>
      <c r="C182" s="87">
        <v>4100</v>
      </c>
      <c r="E182" s="123" t="s">
        <v>806</v>
      </c>
      <c r="F182" s="94">
        <v>86200</v>
      </c>
      <c r="G182" s="94">
        <v>95800</v>
      </c>
    </row>
    <row r="183" spans="1:7">
      <c r="A183" s="120" t="s">
        <v>493</v>
      </c>
      <c r="B183" s="87">
        <v>2600</v>
      </c>
      <c r="C183" s="87">
        <v>4100</v>
      </c>
      <c r="E183" s="123" t="s">
        <v>807</v>
      </c>
      <c r="F183" s="94">
        <v>91800</v>
      </c>
      <c r="G183" s="94">
        <v>102200</v>
      </c>
    </row>
    <row r="184" spans="1:7">
      <c r="A184" s="120" t="s">
        <v>494</v>
      </c>
      <c r="B184" s="87">
        <v>3500</v>
      </c>
      <c r="C184" s="87">
        <v>5000</v>
      </c>
      <c r="E184" s="123" t="s">
        <v>808</v>
      </c>
      <c r="F184" s="94">
        <v>97600</v>
      </c>
      <c r="G184" s="94">
        <v>108700</v>
      </c>
    </row>
    <row r="185" spans="1:7">
      <c r="A185" s="120" t="s">
        <v>495</v>
      </c>
      <c r="B185" s="87">
        <v>3500</v>
      </c>
      <c r="C185" s="87">
        <v>5000</v>
      </c>
      <c r="E185" s="123" t="s">
        <v>809</v>
      </c>
      <c r="F185" s="94">
        <v>103400</v>
      </c>
      <c r="G185" s="94">
        <v>115200</v>
      </c>
    </row>
    <row r="186" spans="1:7">
      <c r="A186" s="120" t="s">
        <v>496</v>
      </c>
      <c r="B186" s="124">
        <v>4500</v>
      </c>
      <c r="C186" s="124">
        <v>6600</v>
      </c>
      <c r="E186" s="123" t="s">
        <v>810</v>
      </c>
      <c r="F186" s="94">
        <v>109200</v>
      </c>
      <c r="G186" s="94">
        <v>121700</v>
      </c>
    </row>
    <row r="187" spans="1:7">
      <c r="A187" s="120" t="s">
        <v>497</v>
      </c>
      <c r="B187" s="124">
        <v>4500</v>
      </c>
      <c r="C187" s="124">
        <v>6600</v>
      </c>
      <c r="E187" s="123" t="s">
        <v>811</v>
      </c>
      <c r="F187" s="94">
        <v>114000</v>
      </c>
      <c r="G187" s="94">
        <v>126000</v>
      </c>
    </row>
    <row r="188" spans="1:7">
      <c r="A188" s="125" t="s">
        <v>498</v>
      </c>
      <c r="B188" s="124">
        <v>5100</v>
      </c>
      <c r="C188" s="124">
        <v>7500</v>
      </c>
      <c r="E188" s="123" t="s">
        <v>812</v>
      </c>
      <c r="F188" s="94">
        <v>121000</v>
      </c>
      <c r="G188" s="94">
        <v>135000</v>
      </c>
    </row>
    <row r="189" spans="1:7" ht="12" thickBot="1">
      <c r="A189" s="125" t="s">
        <v>499</v>
      </c>
      <c r="B189" s="124">
        <v>5100</v>
      </c>
      <c r="C189" s="124">
        <v>7500</v>
      </c>
      <c r="E189" s="123" t="s">
        <v>813</v>
      </c>
      <c r="F189" s="94">
        <v>126600</v>
      </c>
      <c r="G189" s="94">
        <v>141400</v>
      </c>
    </row>
    <row r="190" spans="1:7" ht="12" thickBot="1">
      <c r="A190" s="256" t="s">
        <v>500</v>
      </c>
      <c r="B190" s="257"/>
      <c r="C190" s="258"/>
      <c r="E190" s="123" t="s">
        <v>814</v>
      </c>
      <c r="F190" s="94">
        <v>132600</v>
      </c>
      <c r="G190" s="94">
        <v>148000</v>
      </c>
    </row>
    <row r="191" spans="1:7">
      <c r="A191" s="120" t="s">
        <v>501</v>
      </c>
      <c r="B191" s="126">
        <v>4900</v>
      </c>
      <c r="C191" s="126">
        <v>6800</v>
      </c>
      <c r="E191" s="123" t="s">
        <v>815</v>
      </c>
      <c r="F191" s="94">
        <v>138400</v>
      </c>
      <c r="G191" s="94">
        <v>154500</v>
      </c>
    </row>
    <row r="192" spans="1:7" ht="12" thickBot="1">
      <c r="A192" s="120" t="s">
        <v>502</v>
      </c>
      <c r="B192" s="87">
        <v>5500</v>
      </c>
      <c r="C192" s="87">
        <v>7700</v>
      </c>
      <c r="E192" s="253" t="s">
        <v>439</v>
      </c>
      <c r="F192" s="254"/>
      <c r="G192" s="255"/>
    </row>
    <row r="193" spans="1:7" ht="12" thickBot="1">
      <c r="A193" s="256" t="s">
        <v>503</v>
      </c>
      <c r="B193" s="257"/>
      <c r="C193" s="258"/>
      <c r="E193" s="150" t="s">
        <v>103</v>
      </c>
      <c r="F193" s="150" t="s">
        <v>104</v>
      </c>
      <c r="G193" s="150" t="s">
        <v>25</v>
      </c>
    </row>
    <row r="194" spans="1:7" ht="12" thickBot="1">
      <c r="A194" s="120" t="s">
        <v>504</v>
      </c>
      <c r="B194" s="132">
        <v>4400</v>
      </c>
      <c r="C194" s="132">
        <v>7000</v>
      </c>
      <c r="E194" s="229" t="s">
        <v>440</v>
      </c>
      <c r="F194" s="144"/>
      <c r="G194" s="102"/>
    </row>
    <row r="195" spans="1:7">
      <c r="A195" s="120" t="s">
        <v>505</v>
      </c>
      <c r="B195" s="87">
        <v>6500</v>
      </c>
      <c r="C195" s="87">
        <v>11100</v>
      </c>
      <c r="E195" s="122" t="s">
        <v>653</v>
      </c>
      <c r="F195" s="94">
        <v>45000</v>
      </c>
      <c r="G195" s="94">
        <v>50000</v>
      </c>
    </row>
    <row r="196" spans="1:7">
      <c r="A196" s="120" t="s">
        <v>506</v>
      </c>
      <c r="B196" s="87">
        <v>7800</v>
      </c>
      <c r="C196" s="87">
        <v>12100</v>
      </c>
      <c r="E196" s="122" t="s">
        <v>654</v>
      </c>
      <c r="F196" s="94">
        <v>56000</v>
      </c>
      <c r="G196" s="94">
        <v>63000</v>
      </c>
    </row>
    <row r="197" spans="1:7">
      <c r="A197" s="120" t="s">
        <v>507</v>
      </c>
      <c r="B197" s="87">
        <v>9700</v>
      </c>
      <c r="C197" s="87">
        <v>14600</v>
      </c>
      <c r="E197" s="122" t="s">
        <v>655</v>
      </c>
      <c r="F197" s="94">
        <v>71000</v>
      </c>
      <c r="G197" s="94">
        <v>80000</v>
      </c>
    </row>
    <row r="198" spans="1:7">
      <c r="A198" s="120" t="s">
        <v>508</v>
      </c>
      <c r="B198" s="87">
        <v>11300</v>
      </c>
      <c r="C198" s="87">
        <v>17500</v>
      </c>
      <c r="E198" s="122" t="s">
        <v>656</v>
      </c>
      <c r="F198" s="94">
        <v>82000</v>
      </c>
      <c r="G198" s="94">
        <v>90000</v>
      </c>
    </row>
    <row r="199" spans="1:7" ht="12" thickBot="1">
      <c r="A199" s="128" t="s">
        <v>509</v>
      </c>
      <c r="B199" s="97">
        <v>13500</v>
      </c>
      <c r="C199" s="97">
        <v>22500</v>
      </c>
      <c r="E199" s="122" t="s">
        <v>657</v>
      </c>
      <c r="F199" s="94">
        <v>85000</v>
      </c>
      <c r="G199" s="94">
        <v>95000</v>
      </c>
    </row>
    <row r="200" spans="1:7" ht="12" thickBot="1">
      <c r="A200" s="256" t="s">
        <v>599</v>
      </c>
      <c r="B200" s="257"/>
      <c r="C200" s="258"/>
      <c r="E200" s="122" t="s">
        <v>658</v>
      </c>
      <c r="F200" s="95">
        <v>90000</v>
      </c>
      <c r="G200" s="95">
        <v>100000</v>
      </c>
    </row>
    <row r="201" spans="1:7">
      <c r="A201" s="197" t="s">
        <v>618</v>
      </c>
      <c r="B201" s="93">
        <v>4400</v>
      </c>
      <c r="C201" s="93">
        <v>6700</v>
      </c>
      <c r="E201" s="122" t="s">
        <v>659</v>
      </c>
      <c r="F201" s="94">
        <v>90000</v>
      </c>
      <c r="G201" s="94">
        <v>100000</v>
      </c>
    </row>
    <row r="202" spans="1:7">
      <c r="A202" s="120" t="s">
        <v>619</v>
      </c>
      <c r="B202" s="87">
        <v>5500</v>
      </c>
      <c r="C202" s="87">
        <v>8600</v>
      </c>
      <c r="E202" s="122" t="s">
        <v>660</v>
      </c>
      <c r="F202" s="95">
        <v>101000</v>
      </c>
      <c r="G202" s="95">
        <v>113000</v>
      </c>
    </row>
    <row r="203" spans="1:7" ht="12" thickBot="1">
      <c r="A203" s="120" t="s">
        <v>620</v>
      </c>
      <c r="B203" s="87">
        <v>7200</v>
      </c>
      <c r="C203" s="87">
        <v>11200</v>
      </c>
      <c r="E203" s="122" t="s">
        <v>661</v>
      </c>
      <c r="F203" s="95">
        <v>112000</v>
      </c>
      <c r="G203" s="95">
        <v>126000</v>
      </c>
    </row>
    <row r="204" spans="1:7" ht="12" thickBot="1">
      <c r="A204" s="256" t="s">
        <v>600</v>
      </c>
      <c r="B204" s="257"/>
      <c r="C204" s="258"/>
      <c r="E204" s="122" t="s">
        <v>662</v>
      </c>
      <c r="F204" s="95">
        <v>127000</v>
      </c>
      <c r="G204" s="95">
        <v>143000</v>
      </c>
    </row>
    <row r="205" spans="1:7">
      <c r="A205" s="197" t="s">
        <v>601</v>
      </c>
      <c r="B205" s="93">
        <v>5500</v>
      </c>
      <c r="C205" s="93">
        <v>9000</v>
      </c>
      <c r="E205" s="122" t="s">
        <v>663</v>
      </c>
      <c r="F205" s="95">
        <v>142000</v>
      </c>
      <c r="G205" s="95">
        <v>160000</v>
      </c>
    </row>
    <row r="206" spans="1:7">
      <c r="A206" s="120" t="s">
        <v>602</v>
      </c>
      <c r="B206" s="87">
        <v>6600</v>
      </c>
      <c r="C206" s="87">
        <v>9900</v>
      </c>
      <c r="E206" s="122" t="s">
        <v>664</v>
      </c>
      <c r="F206" s="94">
        <v>164000</v>
      </c>
      <c r="G206" s="94">
        <v>180000</v>
      </c>
    </row>
    <row r="207" spans="1:7">
      <c r="A207" s="120" t="s">
        <v>603</v>
      </c>
      <c r="B207" s="87">
        <v>8800</v>
      </c>
      <c r="C207" s="87">
        <v>14000</v>
      </c>
      <c r="E207" s="122" t="s">
        <v>665</v>
      </c>
      <c r="F207" s="94">
        <v>170000</v>
      </c>
      <c r="G207" s="94">
        <v>190000</v>
      </c>
    </row>
    <row r="208" spans="1:7">
      <c r="A208" s="120" t="s">
        <v>604</v>
      </c>
      <c r="B208" s="87">
        <v>10500</v>
      </c>
      <c r="C208" s="87">
        <v>16900</v>
      </c>
      <c r="E208" s="137" t="s">
        <v>666</v>
      </c>
      <c r="F208" s="95">
        <v>180000</v>
      </c>
      <c r="G208" s="95">
        <v>200000</v>
      </c>
    </row>
    <row r="209" spans="1:7">
      <c r="A209" s="120" t="s">
        <v>605</v>
      </c>
      <c r="B209" s="87">
        <v>12100</v>
      </c>
      <c r="C209" s="87">
        <v>18900</v>
      </c>
      <c r="E209" s="264" t="s">
        <v>732</v>
      </c>
      <c r="F209" s="265"/>
      <c r="G209" s="266"/>
    </row>
    <row r="210" spans="1:7" ht="12" thickBot="1">
      <c r="A210" s="120" t="s">
        <v>606</v>
      </c>
      <c r="B210" s="87">
        <v>14100</v>
      </c>
      <c r="C210" s="87">
        <v>20900</v>
      </c>
      <c r="E210" s="206" t="s">
        <v>103</v>
      </c>
      <c r="F210" s="206" t="s">
        <v>104</v>
      </c>
      <c r="G210" s="206" t="s">
        <v>25</v>
      </c>
    </row>
    <row r="211" spans="1:7" ht="12" thickBot="1">
      <c r="A211" s="120" t="s">
        <v>607</v>
      </c>
      <c r="B211" s="87">
        <v>15500</v>
      </c>
      <c r="C211" s="87">
        <v>22900</v>
      </c>
      <c r="E211" s="229" t="s">
        <v>861</v>
      </c>
      <c r="F211" s="144"/>
      <c r="G211" s="102"/>
    </row>
    <row r="212" spans="1:7" ht="12" thickBot="1">
      <c r="A212" s="256" t="s">
        <v>608</v>
      </c>
      <c r="B212" s="257"/>
      <c r="C212" s="258"/>
      <c r="E212" s="122" t="s">
        <v>864</v>
      </c>
      <c r="F212" s="94">
        <v>68300</v>
      </c>
      <c r="G212" s="94">
        <v>75900</v>
      </c>
    </row>
    <row r="213" spans="1:7">
      <c r="A213" s="197" t="s">
        <v>609</v>
      </c>
      <c r="B213" s="93">
        <v>5500</v>
      </c>
      <c r="C213" s="93">
        <v>9000</v>
      </c>
      <c r="E213" s="122" t="s">
        <v>866</v>
      </c>
      <c r="F213" s="94">
        <v>74200</v>
      </c>
      <c r="G213" s="94">
        <v>82800</v>
      </c>
    </row>
    <row r="214" spans="1:7">
      <c r="A214" s="120" t="s">
        <v>610</v>
      </c>
      <c r="B214" s="87">
        <v>6600</v>
      </c>
      <c r="C214" s="87">
        <v>9900</v>
      </c>
      <c r="E214" s="122" t="s">
        <v>868</v>
      </c>
      <c r="F214" s="94">
        <v>79800</v>
      </c>
      <c r="G214" s="94">
        <v>89200</v>
      </c>
    </row>
    <row r="215" spans="1:7">
      <c r="A215" s="120" t="s">
        <v>611</v>
      </c>
      <c r="B215" s="87">
        <v>8800</v>
      </c>
      <c r="C215" s="87">
        <v>14000</v>
      </c>
      <c r="E215" s="122" t="s">
        <v>870</v>
      </c>
      <c r="F215" s="94">
        <v>85200</v>
      </c>
      <c r="G215" s="94">
        <v>95800</v>
      </c>
    </row>
    <row r="216" spans="1:7">
      <c r="A216" s="120" t="s">
        <v>612</v>
      </c>
      <c r="B216" s="87">
        <v>10500</v>
      </c>
      <c r="C216" s="87">
        <v>16900</v>
      </c>
      <c r="E216" s="122" t="s">
        <v>872</v>
      </c>
      <c r="F216" s="94">
        <v>90800</v>
      </c>
      <c r="G216" s="94">
        <v>102200</v>
      </c>
    </row>
    <row r="217" spans="1:7">
      <c r="A217" s="120" t="s">
        <v>613</v>
      </c>
      <c r="B217" s="87">
        <v>12100</v>
      </c>
      <c r="C217" s="87">
        <v>18900</v>
      </c>
      <c r="E217" s="122" t="s">
        <v>874</v>
      </c>
      <c r="F217" s="94">
        <v>100200</v>
      </c>
      <c r="G217" s="94">
        <v>112800</v>
      </c>
    </row>
    <row r="218" spans="1:7">
      <c r="A218" s="120" t="s">
        <v>614</v>
      </c>
      <c r="B218" s="87">
        <v>14100</v>
      </c>
      <c r="C218" s="87">
        <v>20900</v>
      </c>
      <c r="E218" s="122" t="s">
        <v>876</v>
      </c>
      <c r="F218" s="94">
        <v>105800</v>
      </c>
      <c r="G218" s="94">
        <v>119200</v>
      </c>
    </row>
    <row r="219" spans="1:7" ht="12" thickBot="1">
      <c r="A219" s="120" t="s">
        <v>615</v>
      </c>
      <c r="B219" s="87">
        <v>15500</v>
      </c>
      <c r="C219" s="87">
        <v>22900</v>
      </c>
      <c r="E219" s="122" t="s">
        <v>878</v>
      </c>
      <c r="F219" s="94">
        <v>128400</v>
      </c>
      <c r="G219" s="94">
        <v>142200</v>
      </c>
    </row>
    <row r="220" spans="1:7" ht="12" thickBot="1">
      <c r="A220" s="256" t="s">
        <v>514</v>
      </c>
      <c r="B220" s="257"/>
      <c r="C220" s="258"/>
      <c r="E220" s="122" t="s">
        <v>880</v>
      </c>
      <c r="F220" s="94">
        <v>131400</v>
      </c>
      <c r="G220" s="94">
        <v>150200</v>
      </c>
    </row>
    <row r="221" spans="1:7">
      <c r="A221" s="197" t="s">
        <v>511</v>
      </c>
      <c r="B221" s="93">
        <v>4360</v>
      </c>
      <c r="C221" s="93">
        <v>6400</v>
      </c>
      <c r="D221" s="147"/>
      <c r="E221" s="122" t="s">
        <v>882</v>
      </c>
      <c r="F221" s="94">
        <v>134200</v>
      </c>
      <c r="G221" s="94">
        <v>148700</v>
      </c>
    </row>
    <row r="222" spans="1:7">
      <c r="A222" s="120" t="s">
        <v>512</v>
      </c>
      <c r="B222" s="87">
        <v>5550</v>
      </c>
      <c r="C222" s="87">
        <v>8100</v>
      </c>
      <c r="D222" s="147"/>
      <c r="E222" s="122" t="s">
        <v>884</v>
      </c>
      <c r="F222" s="94">
        <v>136400</v>
      </c>
      <c r="G222" s="94">
        <v>152200</v>
      </c>
    </row>
    <row r="223" spans="1:7" ht="12" thickBot="1">
      <c r="A223" s="120" t="s">
        <v>513</v>
      </c>
      <c r="B223" s="87">
        <v>7210</v>
      </c>
      <c r="C223" s="87">
        <v>10900</v>
      </c>
      <c r="D223" s="147"/>
      <c r="E223" s="122" t="s">
        <v>886</v>
      </c>
      <c r="F223" s="94">
        <v>137200</v>
      </c>
      <c r="G223" s="94">
        <v>153700</v>
      </c>
    </row>
    <row r="224" spans="1:7" ht="12" thickBot="1">
      <c r="A224" s="256" t="s">
        <v>515</v>
      </c>
      <c r="B224" s="257"/>
      <c r="C224" s="258"/>
      <c r="D224" s="147"/>
      <c r="E224" s="122" t="s">
        <v>888</v>
      </c>
      <c r="F224" s="95">
        <v>139000</v>
      </c>
      <c r="G224" s="95">
        <v>153000</v>
      </c>
    </row>
    <row r="225" spans="1:7">
      <c r="A225" s="120" t="s">
        <v>516</v>
      </c>
      <c r="B225" s="87">
        <v>3200</v>
      </c>
      <c r="C225" s="87">
        <v>4800</v>
      </c>
      <c r="D225" s="147"/>
      <c r="E225" s="122" t="s">
        <v>890</v>
      </c>
      <c r="F225" s="94">
        <v>142200</v>
      </c>
      <c r="G225" s="94">
        <v>158700</v>
      </c>
    </row>
    <row r="226" spans="1:7">
      <c r="A226" s="120" t="s">
        <v>517</v>
      </c>
      <c r="B226" s="87">
        <v>4060</v>
      </c>
      <c r="C226" s="87">
        <v>6300</v>
      </c>
      <c r="D226" s="147"/>
      <c r="E226" s="122" t="s">
        <v>892</v>
      </c>
      <c r="F226" s="95">
        <v>142000</v>
      </c>
      <c r="G226" s="95">
        <v>158000</v>
      </c>
    </row>
    <row r="227" spans="1:7" ht="12" thickBot="1">
      <c r="A227" s="120" t="s">
        <v>518</v>
      </c>
      <c r="B227" s="87">
        <v>4910</v>
      </c>
      <c r="C227" s="87">
        <v>7100</v>
      </c>
      <c r="D227" s="147"/>
      <c r="E227" s="122" t="s">
        <v>894</v>
      </c>
      <c r="F227" s="95">
        <v>147000</v>
      </c>
      <c r="G227" s="95">
        <v>163000</v>
      </c>
    </row>
    <row r="228" spans="1:7" ht="12" thickBot="1">
      <c r="A228" s="120" t="s">
        <v>519</v>
      </c>
      <c r="B228" s="87">
        <v>5540</v>
      </c>
      <c r="C228" s="87">
        <v>8400</v>
      </c>
      <c r="D228" s="147"/>
      <c r="E228" s="229" t="s">
        <v>862</v>
      </c>
      <c r="F228" s="144"/>
      <c r="G228" s="102"/>
    </row>
    <row r="229" spans="1:7">
      <c r="A229" s="120" t="s">
        <v>520</v>
      </c>
      <c r="B229" s="87">
        <v>6280</v>
      </c>
      <c r="C229" s="87">
        <v>10000</v>
      </c>
      <c r="D229" s="147"/>
      <c r="E229" s="122" t="s">
        <v>895</v>
      </c>
      <c r="F229" s="94">
        <v>68300</v>
      </c>
      <c r="G229" s="94">
        <v>75900</v>
      </c>
    </row>
    <row r="230" spans="1:7">
      <c r="A230" s="261" t="s">
        <v>223</v>
      </c>
      <c r="B230" s="262"/>
      <c r="C230" s="263"/>
      <c r="D230" s="147"/>
      <c r="E230" s="122" t="s">
        <v>896</v>
      </c>
      <c r="F230" s="94">
        <v>74200</v>
      </c>
      <c r="G230" s="94">
        <v>82800</v>
      </c>
    </row>
    <row r="231" spans="1:7">
      <c r="A231" s="149" t="s">
        <v>103</v>
      </c>
      <c r="B231" s="149" t="s">
        <v>224</v>
      </c>
      <c r="C231" s="149" t="s">
        <v>225</v>
      </c>
      <c r="D231" s="147"/>
      <c r="E231" s="122" t="s">
        <v>897</v>
      </c>
      <c r="F231" s="94">
        <v>79800</v>
      </c>
      <c r="G231" s="94">
        <v>89200</v>
      </c>
    </row>
    <row r="232" spans="1:7">
      <c r="A232" s="120" t="s">
        <v>399</v>
      </c>
      <c r="B232" s="87">
        <v>2400</v>
      </c>
      <c r="C232" s="87">
        <v>4300</v>
      </c>
      <c r="D232" s="147"/>
      <c r="E232" s="122" t="s">
        <v>898</v>
      </c>
      <c r="F232" s="94">
        <v>85200</v>
      </c>
      <c r="G232" s="94">
        <v>95800</v>
      </c>
    </row>
    <row r="233" spans="1:7">
      <c r="A233" s="120" t="s">
        <v>400</v>
      </c>
      <c r="B233" s="87">
        <v>2600</v>
      </c>
      <c r="C233" s="87">
        <v>4100</v>
      </c>
      <c r="D233" s="147"/>
      <c r="E233" s="122" t="s">
        <v>899</v>
      </c>
      <c r="F233" s="94">
        <v>90800</v>
      </c>
      <c r="G233" s="94">
        <v>102200</v>
      </c>
    </row>
    <row r="234" spans="1:7">
      <c r="A234" s="120" t="s">
        <v>401</v>
      </c>
      <c r="B234" s="87">
        <v>3200</v>
      </c>
      <c r="C234" s="87">
        <v>5200</v>
      </c>
      <c r="D234" s="147"/>
      <c r="E234" s="122" t="s">
        <v>900</v>
      </c>
      <c r="F234" s="94">
        <v>100200</v>
      </c>
      <c r="G234" s="94">
        <v>112800</v>
      </c>
    </row>
    <row r="235" spans="1:7">
      <c r="A235" s="120" t="s">
        <v>402</v>
      </c>
      <c r="B235" s="87">
        <v>3500</v>
      </c>
      <c r="C235" s="87">
        <v>5000</v>
      </c>
      <c r="D235" s="147"/>
      <c r="E235" s="122" t="s">
        <v>901</v>
      </c>
      <c r="F235" s="94">
        <v>105800</v>
      </c>
      <c r="G235" s="94">
        <v>119200</v>
      </c>
    </row>
    <row r="236" spans="1:7">
      <c r="A236" s="120" t="s">
        <v>403</v>
      </c>
      <c r="B236" s="87">
        <v>4150</v>
      </c>
      <c r="C236" s="87">
        <v>6800</v>
      </c>
      <c r="D236" s="147"/>
      <c r="E236" s="122" t="s">
        <v>902</v>
      </c>
      <c r="F236" s="94">
        <v>128400</v>
      </c>
      <c r="G236" s="94">
        <v>142200</v>
      </c>
    </row>
    <row r="237" spans="1:7">
      <c r="A237" s="120" t="s">
        <v>404</v>
      </c>
      <c r="B237" s="124">
        <v>4500</v>
      </c>
      <c r="C237" s="124">
        <v>6600</v>
      </c>
      <c r="E237" s="122" t="s">
        <v>903</v>
      </c>
      <c r="F237" s="94">
        <v>131400</v>
      </c>
      <c r="G237" s="94">
        <v>150200</v>
      </c>
    </row>
    <row r="238" spans="1:7">
      <c r="A238" s="125" t="s">
        <v>405</v>
      </c>
      <c r="B238" s="124">
        <v>4700</v>
      </c>
      <c r="C238" s="124">
        <v>7800</v>
      </c>
      <c r="E238" s="122" t="s">
        <v>904</v>
      </c>
      <c r="F238" s="94">
        <v>134200</v>
      </c>
      <c r="G238" s="94">
        <v>148700</v>
      </c>
    </row>
    <row r="239" spans="1:7" ht="12" thickBot="1">
      <c r="A239" s="125" t="s">
        <v>406</v>
      </c>
      <c r="B239" s="124">
        <v>5100</v>
      </c>
      <c r="C239" s="124">
        <v>7500</v>
      </c>
      <c r="E239" s="122" t="s">
        <v>905</v>
      </c>
      <c r="F239" s="94">
        <v>136400</v>
      </c>
      <c r="G239" s="94">
        <v>152200</v>
      </c>
    </row>
    <row r="240" spans="1:7">
      <c r="A240" s="197" t="s">
        <v>407</v>
      </c>
      <c r="B240" s="93">
        <v>4600</v>
      </c>
      <c r="C240" s="93">
        <v>7000</v>
      </c>
      <c r="E240" s="122" t="s">
        <v>906</v>
      </c>
      <c r="F240" s="94">
        <v>137200</v>
      </c>
      <c r="G240" s="94">
        <v>153700</v>
      </c>
    </row>
    <row r="241" spans="1:7">
      <c r="A241" s="120" t="s">
        <v>408</v>
      </c>
      <c r="B241" s="126">
        <v>4900</v>
      </c>
      <c r="C241" s="126">
        <v>6800</v>
      </c>
      <c r="E241" s="122" t="s">
        <v>907</v>
      </c>
      <c r="F241" s="95">
        <v>139000</v>
      </c>
      <c r="G241" s="95">
        <v>153000</v>
      </c>
    </row>
    <row r="242" spans="1:7">
      <c r="A242" s="125" t="s">
        <v>409</v>
      </c>
      <c r="B242" s="124">
        <v>5100</v>
      </c>
      <c r="C242" s="124">
        <v>7900</v>
      </c>
      <c r="E242" s="122" t="s">
        <v>908</v>
      </c>
      <c r="F242" s="94">
        <v>142200</v>
      </c>
      <c r="G242" s="94">
        <v>158700</v>
      </c>
    </row>
    <row r="243" spans="1:7" ht="12" thickBot="1">
      <c r="A243" s="125" t="s">
        <v>410</v>
      </c>
      <c r="B243" s="97">
        <v>5500</v>
      </c>
      <c r="C243" s="97">
        <v>7700</v>
      </c>
      <c r="E243" s="122" t="s">
        <v>909</v>
      </c>
      <c r="F243" s="95">
        <v>142000</v>
      </c>
      <c r="G243" s="95">
        <v>158000</v>
      </c>
    </row>
    <row r="244" spans="1:7">
      <c r="A244" s="197" t="s">
        <v>411</v>
      </c>
      <c r="B244" s="93">
        <v>4100</v>
      </c>
      <c r="C244" s="93">
        <v>7300</v>
      </c>
      <c r="E244" s="122" t="s">
        <v>910</v>
      </c>
      <c r="F244" s="95">
        <v>147000</v>
      </c>
      <c r="G244" s="95">
        <v>163000</v>
      </c>
    </row>
    <row r="245" spans="1:7">
      <c r="A245" s="120" t="s">
        <v>412</v>
      </c>
      <c r="B245" s="132">
        <v>4400</v>
      </c>
      <c r="C245" s="132">
        <v>7000</v>
      </c>
      <c r="E245" s="151"/>
      <c r="F245" s="152"/>
      <c r="G245" s="152"/>
    </row>
    <row r="246" spans="1:7">
      <c r="A246" s="120" t="s">
        <v>413</v>
      </c>
      <c r="B246" s="87">
        <v>6000</v>
      </c>
      <c r="C246" s="87">
        <v>11500</v>
      </c>
      <c r="E246" s="259" t="s">
        <v>227</v>
      </c>
      <c r="F246" s="260"/>
      <c r="G246" s="113"/>
    </row>
    <row r="247" spans="1:7">
      <c r="A247" s="120" t="s">
        <v>414</v>
      </c>
      <c r="B247" s="87">
        <v>6500</v>
      </c>
      <c r="C247" s="87">
        <v>11100</v>
      </c>
      <c r="E247" s="230" t="s">
        <v>103</v>
      </c>
      <c r="F247" s="230" t="s">
        <v>115</v>
      </c>
      <c r="G247" s="113"/>
    </row>
    <row r="248" spans="1:7">
      <c r="A248" s="120" t="s">
        <v>415</v>
      </c>
      <c r="B248" s="87">
        <v>7200</v>
      </c>
      <c r="C248" s="87">
        <v>12500</v>
      </c>
      <c r="E248" s="120" t="s">
        <v>781</v>
      </c>
      <c r="F248" s="120">
        <v>250</v>
      </c>
      <c r="G248" s="113"/>
    </row>
    <row r="249" spans="1:7">
      <c r="A249" s="120" t="s">
        <v>416</v>
      </c>
      <c r="B249" s="87">
        <v>7800</v>
      </c>
      <c r="C249" s="87">
        <v>12100</v>
      </c>
      <c r="E249" s="120" t="s">
        <v>783</v>
      </c>
      <c r="F249" s="120">
        <v>350</v>
      </c>
      <c r="G249" s="231"/>
    </row>
    <row r="250" spans="1:7">
      <c r="A250" s="120" t="s">
        <v>417</v>
      </c>
      <c r="B250" s="87">
        <v>9000</v>
      </c>
      <c r="C250" s="87">
        <v>15000</v>
      </c>
      <c r="E250" s="120" t="s">
        <v>785</v>
      </c>
      <c r="F250" s="120">
        <v>500</v>
      </c>
      <c r="G250" s="231"/>
    </row>
    <row r="251" spans="1:7">
      <c r="A251" s="120" t="s">
        <v>418</v>
      </c>
      <c r="B251" s="87">
        <v>9700</v>
      </c>
      <c r="C251" s="87">
        <v>14600</v>
      </c>
      <c r="E251" s="120" t="s">
        <v>787</v>
      </c>
      <c r="F251" s="120">
        <v>800</v>
      </c>
      <c r="G251" s="231"/>
    </row>
    <row r="252" spans="1:7">
      <c r="A252" s="120" t="s">
        <v>419</v>
      </c>
      <c r="B252" s="87">
        <v>10500</v>
      </c>
      <c r="C252" s="87">
        <v>18000</v>
      </c>
      <c r="E252" s="120" t="s">
        <v>789</v>
      </c>
      <c r="F252" s="120">
        <v>1000</v>
      </c>
      <c r="G252" s="231"/>
    </row>
    <row r="253" spans="1:7">
      <c r="A253" s="120" t="s">
        <v>420</v>
      </c>
      <c r="B253" s="87">
        <v>11300</v>
      </c>
      <c r="C253" s="87">
        <v>17500</v>
      </c>
      <c r="E253" s="120" t="s">
        <v>791</v>
      </c>
      <c r="F253" s="120">
        <v>1500</v>
      </c>
      <c r="G253" s="231"/>
    </row>
    <row r="254" spans="1:7" ht="12" thickBot="1">
      <c r="A254" s="120" t="s">
        <v>421</v>
      </c>
      <c r="B254" s="87">
        <v>13000</v>
      </c>
      <c r="C254" s="87">
        <v>13500</v>
      </c>
      <c r="E254" s="125" t="s">
        <v>793</v>
      </c>
      <c r="F254" s="125">
        <v>2000</v>
      </c>
      <c r="G254" s="231"/>
    </row>
    <row r="255" spans="1:7" ht="12" thickBot="1">
      <c r="A255" s="120" t="s">
        <v>422</v>
      </c>
      <c r="B255" s="132">
        <v>13500</v>
      </c>
      <c r="C255" s="132">
        <v>22500</v>
      </c>
      <c r="E255" s="127" t="s">
        <v>1223</v>
      </c>
      <c r="F255" s="127">
        <v>150</v>
      </c>
      <c r="G255" s="231"/>
    </row>
    <row r="256" spans="1:7">
      <c r="A256" s="197" t="s">
        <v>423</v>
      </c>
      <c r="B256" s="93">
        <v>2900</v>
      </c>
      <c r="C256" s="93">
        <v>4900</v>
      </c>
      <c r="E256" s="120" t="s">
        <v>1225</v>
      </c>
      <c r="F256" s="120">
        <v>250</v>
      </c>
      <c r="G256" s="231"/>
    </row>
    <row r="257" spans="1:6">
      <c r="A257" s="120" t="s">
        <v>424</v>
      </c>
      <c r="B257" s="132">
        <v>3200</v>
      </c>
      <c r="C257" s="132">
        <v>4800</v>
      </c>
      <c r="E257" s="120" t="s">
        <v>1229</v>
      </c>
      <c r="F257" s="120">
        <v>350</v>
      </c>
    </row>
    <row r="258" spans="1:6">
      <c r="A258" s="120" t="s">
        <v>425</v>
      </c>
      <c r="B258" s="87">
        <v>3800</v>
      </c>
      <c r="C258" s="87">
        <v>6500</v>
      </c>
      <c r="E258" s="120" t="s">
        <v>1230</v>
      </c>
      <c r="F258" s="120">
        <v>500</v>
      </c>
    </row>
    <row r="259" spans="1:6" ht="12" thickBot="1">
      <c r="A259" s="120" t="s">
        <v>426</v>
      </c>
      <c r="B259" s="87">
        <v>4060</v>
      </c>
      <c r="C259" s="87">
        <v>6300</v>
      </c>
      <c r="E259" s="120" t="s">
        <v>1231</v>
      </c>
      <c r="F259" s="120">
        <v>800</v>
      </c>
    </row>
    <row r="260" spans="1:6">
      <c r="A260" s="120" t="s">
        <v>427</v>
      </c>
      <c r="B260" s="87">
        <v>4200</v>
      </c>
      <c r="C260" s="87">
        <v>7300</v>
      </c>
      <c r="E260" s="197" t="s">
        <v>991</v>
      </c>
      <c r="F260" s="197">
        <v>100</v>
      </c>
    </row>
    <row r="261" spans="1:6">
      <c r="A261" s="120" t="s">
        <v>428</v>
      </c>
      <c r="B261" s="87">
        <v>4910</v>
      </c>
      <c r="C261" s="87">
        <v>7100</v>
      </c>
      <c r="E261" s="120" t="s">
        <v>1047</v>
      </c>
      <c r="F261" s="120">
        <v>150</v>
      </c>
    </row>
    <row r="262" spans="1:6">
      <c r="A262" s="120" t="s">
        <v>429</v>
      </c>
      <c r="B262" s="87">
        <v>5000</v>
      </c>
      <c r="C262" s="87">
        <v>8700</v>
      </c>
      <c r="E262" s="120" t="s">
        <v>1048</v>
      </c>
      <c r="F262" s="120">
        <v>200</v>
      </c>
    </row>
    <row r="263" spans="1:6" ht="12" thickBot="1">
      <c r="A263" s="120" t="s">
        <v>430</v>
      </c>
      <c r="B263" s="87">
        <v>5540</v>
      </c>
      <c r="C263" s="87">
        <v>8400</v>
      </c>
      <c r="E263" s="120" t="s">
        <v>1049</v>
      </c>
      <c r="F263" s="120">
        <v>250</v>
      </c>
    </row>
    <row r="264" spans="1:6">
      <c r="A264" s="120" t="s">
        <v>431</v>
      </c>
      <c r="B264" s="87">
        <v>5700</v>
      </c>
      <c r="C264" s="87">
        <v>10300</v>
      </c>
      <c r="E264" s="197" t="s">
        <v>847</v>
      </c>
      <c r="F264" s="197">
        <v>150</v>
      </c>
    </row>
    <row r="265" spans="1:6" ht="12" thickBot="1">
      <c r="A265" s="120" t="s">
        <v>432</v>
      </c>
      <c r="B265" s="132">
        <v>6280</v>
      </c>
      <c r="C265" s="132">
        <v>10000</v>
      </c>
      <c r="E265" s="120" t="s">
        <v>849</v>
      </c>
      <c r="F265" s="120">
        <v>200</v>
      </c>
    </row>
    <row r="266" spans="1:6">
      <c r="A266" s="197" t="s">
        <v>433</v>
      </c>
      <c r="B266" s="93">
        <v>3900</v>
      </c>
      <c r="C266" s="93">
        <v>6600</v>
      </c>
      <c r="E266" s="120" t="s">
        <v>851</v>
      </c>
      <c r="F266" s="120">
        <v>250</v>
      </c>
    </row>
    <row r="267" spans="1:6">
      <c r="A267" s="120" t="s">
        <v>434</v>
      </c>
      <c r="B267" s="132">
        <v>4360</v>
      </c>
      <c r="C267" s="132">
        <v>6400</v>
      </c>
      <c r="E267" s="120" t="s">
        <v>853</v>
      </c>
      <c r="F267" s="120">
        <v>300</v>
      </c>
    </row>
    <row r="268" spans="1:6">
      <c r="A268" s="120" t="s">
        <v>435</v>
      </c>
      <c r="B268" s="87">
        <v>5000</v>
      </c>
      <c r="C268" s="87">
        <v>8400</v>
      </c>
      <c r="E268" s="133"/>
      <c r="F268" s="231"/>
    </row>
    <row r="269" spans="1:6">
      <c r="A269" s="120" t="s">
        <v>436</v>
      </c>
      <c r="B269" s="87">
        <v>5550</v>
      </c>
      <c r="C269" s="87">
        <v>8100</v>
      </c>
      <c r="E269" s="133"/>
      <c r="F269" s="231"/>
    </row>
    <row r="270" spans="1:6">
      <c r="A270" s="120" t="s">
        <v>437</v>
      </c>
      <c r="B270" s="87">
        <v>6600</v>
      </c>
      <c r="C270" s="87">
        <v>11200</v>
      </c>
      <c r="E270" s="133"/>
      <c r="F270" s="231"/>
    </row>
    <row r="271" spans="1:6">
      <c r="A271" s="120" t="s">
        <v>438</v>
      </c>
      <c r="B271" s="87">
        <v>7210</v>
      </c>
      <c r="C271" s="87">
        <v>10900</v>
      </c>
      <c r="E271" s="133"/>
      <c r="F271" s="231"/>
    </row>
    <row r="272" spans="1:6">
      <c r="E272" s="133"/>
      <c r="F272" s="139"/>
    </row>
    <row r="273" spans="1:3">
      <c r="A273" s="196" t="s">
        <v>393</v>
      </c>
    </row>
    <row r="274" spans="1:3">
      <c r="A274" s="196" t="s">
        <v>391</v>
      </c>
    </row>
    <row r="275" spans="1:3">
      <c r="A275" s="196" t="s">
        <v>392</v>
      </c>
    </row>
    <row r="276" spans="1:3">
      <c r="A276" s="196" t="s">
        <v>394</v>
      </c>
    </row>
    <row r="277" spans="1:3">
      <c r="A277" s="196" t="s">
        <v>392</v>
      </c>
    </row>
    <row r="278" spans="1:3">
      <c r="A278" s="196"/>
    </row>
    <row r="279" spans="1:3">
      <c r="A279" s="196" t="s">
        <v>395</v>
      </c>
      <c r="B279" s="113"/>
      <c r="C279" s="113"/>
    </row>
    <row r="280" spans="1:3">
      <c r="A280" s="196" t="s">
        <v>396</v>
      </c>
      <c r="B280" s="113"/>
      <c r="C280" s="113"/>
    </row>
    <row r="281" spans="1:3">
      <c r="A281" s="196" t="s">
        <v>397</v>
      </c>
      <c r="B281" s="154"/>
      <c r="C281" s="154"/>
    </row>
    <row r="282" spans="1:3">
      <c r="A282" s="196" t="s">
        <v>398</v>
      </c>
      <c r="B282" s="154"/>
      <c r="C282" s="154"/>
    </row>
    <row r="283" spans="1:3">
      <c r="A283" s="196" t="s">
        <v>397</v>
      </c>
      <c r="B283" s="154"/>
      <c r="C283" s="154"/>
    </row>
  </sheetData>
  <mergeCells count="44">
    <mergeCell ref="Q146:S146"/>
    <mergeCell ref="Q1:S1"/>
    <mergeCell ref="Q9:S9"/>
    <mergeCell ref="Q51:S51"/>
    <mergeCell ref="Q62:S62"/>
    <mergeCell ref="Q68:S68"/>
    <mergeCell ref="Q82:S82"/>
    <mergeCell ref="Q87:S87"/>
    <mergeCell ref="A142:C142"/>
    <mergeCell ref="A98:C98"/>
    <mergeCell ref="I80:K80"/>
    <mergeCell ref="I87:K87"/>
    <mergeCell ref="I85:K85"/>
    <mergeCell ref="A128:C128"/>
    <mergeCell ref="Z1:AB1"/>
    <mergeCell ref="V1:X1"/>
    <mergeCell ref="A130:C130"/>
    <mergeCell ref="A139:C139"/>
    <mergeCell ref="I66:K66"/>
    <mergeCell ref="E1:G1"/>
    <mergeCell ref="A91:C91"/>
    <mergeCell ref="A1:C1"/>
    <mergeCell ref="I41:K41"/>
    <mergeCell ref="I1:K1"/>
    <mergeCell ref="I24:K24"/>
    <mergeCell ref="M1:O1"/>
    <mergeCell ref="A173:C173"/>
    <mergeCell ref="A220:C220"/>
    <mergeCell ref="A193:C193"/>
    <mergeCell ref="A161:C161"/>
    <mergeCell ref="A149:C149"/>
    <mergeCell ref="A153:C153"/>
    <mergeCell ref="A179:C179"/>
    <mergeCell ref="A169:C169"/>
    <mergeCell ref="E192:G192"/>
    <mergeCell ref="A224:C224"/>
    <mergeCell ref="E246:F246"/>
    <mergeCell ref="A230:C230"/>
    <mergeCell ref="A181:C181"/>
    <mergeCell ref="A190:C190"/>
    <mergeCell ref="A200:C200"/>
    <mergeCell ref="A204:C204"/>
    <mergeCell ref="A212:C212"/>
    <mergeCell ref="E209:G209"/>
  </mergeCells>
  <phoneticPr fontId="3" type="noConversion"/>
  <dataValidations disablePrompts="1" count="2">
    <dataValidation type="list" allowBlank="1" showInputMessage="1" showErrorMessage="1" sqref="S12" xr:uid="{EE92D6A5-67EF-46ED-823B-A928AAF5F045}">
      <formula1>All실외기+All실외기</formula1>
    </dataValidation>
    <dataValidation type="list" allowBlank="1" showInputMessage="1" showErrorMessage="1" sqref="Q9:S9" xr:uid="{7BBEA13B-CFCB-4EF7-B1A1-8447C511FEBA}">
      <formula1>$Q$1:$Q$7</formula1>
    </dataValidation>
  </dataValidations>
  <printOptions horizontalCentered="1"/>
  <pageMargins left="0" right="0" top="0.39370078740157483" bottom="0.39370078740157483" header="0" footer="0"/>
  <pageSetup paperSize="9" scale="90" orientation="landscape" r:id="rId1"/>
  <headerFooter alignWithMargins="0">
    <oddHeader>&amp;C&amp;"Calibri"&amp;12&amp;K000000 LGE Internal Use Only&amp;1#_x000D_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tabColor theme="5" tint="-0.249977111117893"/>
  </sheetPr>
  <dimension ref="A1:Q42"/>
  <sheetViews>
    <sheetView showGridLines="0" topLeftCell="C1" zoomScaleNormal="100" zoomScaleSheetLayoutView="90" workbookViewId="0">
      <selection activeCell="T24" sqref="T24"/>
    </sheetView>
  </sheetViews>
  <sheetFormatPr defaultRowHeight="16.5"/>
  <cols>
    <col min="1" max="1" width="7" style="43" customWidth="1"/>
    <col min="2" max="2" width="11.77734375" style="43" customWidth="1"/>
    <col min="3" max="4" width="6.77734375" style="44" customWidth="1"/>
    <col min="5" max="5" width="6.77734375" style="45" customWidth="1"/>
    <col min="6" max="6" width="8.21875" style="43" customWidth="1"/>
    <col min="7" max="7" width="10.44140625" style="45" customWidth="1"/>
    <col min="8" max="8" width="8.33203125" style="42" customWidth="1"/>
    <col min="9" max="9" width="9.77734375" style="42" customWidth="1"/>
    <col min="10" max="10" width="12.21875" style="42" customWidth="1"/>
    <col min="11" max="11" width="10" style="45" customWidth="1"/>
    <col min="12" max="12" width="6.5546875" style="45" customWidth="1"/>
    <col min="13" max="13" width="8.88671875" style="42" customWidth="1"/>
    <col min="14" max="14" width="5.109375" style="195" customWidth="1"/>
    <col min="15" max="15" width="11.77734375" style="42" customWidth="1"/>
    <col min="16" max="16" width="8" style="42" customWidth="1"/>
    <col min="17" max="17" width="6.6640625" style="43" customWidth="1"/>
    <col min="18" max="16384" width="8.88671875" style="42"/>
  </cols>
  <sheetData>
    <row r="1" spans="1:17" s="34" customFormat="1" ht="31.5" customHeight="1">
      <c r="A1" s="33" t="s">
        <v>22</v>
      </c>
      <c r="B1" s="33"/>
      <c r="K1" s="35"/>
      <c r="N1" s="193"/>
      <c r="P1" s="36"/>
      <c r="Q1" s="37"/>
    </row>
    <row r="2" spans="1:17" s="34" customFormat="1" ht="5.25" customHeight="1">
      <c r="K2" s="35"/>
      <c r="N2" s="193"/>
      <c r="P2" s="36"/>
      <c r="Q2" s="37"/>
    </row>
    <row r="3" spans="1:17" s="34" customFormat="1" ht="18" customHeight="1">
      <c r="A3" s="306" t="s">
        <v>93</v>
      </c>
      <c r="B3" s="306" t="s">
        <v>71</v>
      </c>
      <c r="C3" s="306" t="s">
        <v>72</v>
      </c>
      <c r="D3" s="306" t="s">
        <v>73</v>
      </c>
      <c r="E3" s="306" t="s">
        <v>74</v>
      </c>
      <c r="F3" s="306" t="s">
        <v>75</v>
      </c>
      <c r="G3" s="306"/>
      <c r="H3" s="306"/>
      <c r="I3" s="306" t="s">
        <v>76</v>
      </c>
      <c r="J3" s="306"/>
      <c r="K3" s="306"/>
      <c r="L3" s="306" t="s">
        <v>77</v>
      </c>
      <c r="M3" s="306"/>
      <c r="N3" s="307" t="s">
        <v>307</v>
      </c>
      <c r="O3" s="306" t="s">
        <v>78</v>
      </c>
      <c r="P3" s="306"/>
      <c r="Q3" s="306"/>
    </row>
    <row r="4" spans="1:17" s="34" customFormat="1" ht="18" customHeight="1">
      <c r="A4" s="306"/>
      <c r="B4" s="306"/>
      <c r="C4" s="306"/>
      <c r="D4" s="306"/>
      <c r="E4" s="306"/>
      <c r="F4" s="207" t="s">
        <v>79</v>
      </c>
      <c r="G4" s="207" t="s">
        <v>80</v>
      </c>
      <c r="H4" s="207" t="s">
        <v>81</v>
      </c>
      <c r="I4" s="207" t="s">
        <v>82</v>
      </c>
      <c r="J4" s="207" t="s">
        <v>80</v>
      </c>
      <c r="K4" s="208" t="s">
        <v>81</v>
      </c>
      <c r="L4" s="207" t="s">
        <v>83</v>
      </c>
      <c r="M4" s="207" t="s">
        <v>81</v>
      </c>
      <c r="N4" s="308"/>
      <c r="O4" s="306" t="s">
        <v>84</v>
      </c>
      <c r="P4" s="209" t="s">
        <v>85</v>
      </c>
      <c r="Q4" s="207" t="s">
        <v>86</v>
      </c>
    </row>
    <row r="5" spans="1:17" s="34" customFormat="1" ht="18" customHeight="1">
      <c r="A5" s="306"/>
      <c r="B5" s="306"/>
      <c r="C5" s="207" t="s">
        <v>66</v>
      </c>
      <c r="D5" s="207" t="s">
        <v>87</v>
      </c>
      <c r="E5" s="207" t="s">
        <v>88</v>
      </c>
      <c r="F5" s="207" t="s">
        <v>89</v>
      </c>
      <c r="G5" s="207" t="s">
        <v>90</v>
      </c>
      <c r="H5" s="207" t="s">
        <v>90</v>
      </c>
      <c r="I5" s="207" t="s">
        <v>91</v>
      </c>
      <c r="J5" s="207" t="s">
        <v>90</v>
      </c>
      <c r="K5" s="208" t="s">
        <v>90</v>
      </c>
      <c r="L5" s="207" t="s">
        <v>92</v>
      </c>
      <c r="M5" s="207" t="s">
        <v>90</v>
      </c>
      <c r="N5" s="309"/>
      <c r="O5" s="306"/>
      <c r="P5" s="209" t="s">
        <v>90</v>
      </c>
      <c r="Q5" s="207" t="s">
        <v>70</v>
      </c>
    </row>
    <row r="6" spans="1:17" s="34" customFormat="1" ht="18" customHeight="1">
      <c r="A6" s="300" t="s">
        <v>142</v>
      </c>
      <c r="B6" s="105" t="s">
        <v>143</v>
      </c>
      <c r="C6" s="10">
        <v>364</v>
      </c>
      <c r="D6" s="38">
        <v>3</v>
      </c>
      <c r="E6" s="38">
        <f t="shared" ref="E6:E14" si="0">C6*D6</f>
        <v>1092</v>
      </c>
      <c r="F6" s="156">
        <v>0</v>
      </c>
      <c r="G6" s="156">
        <v>0</v>
      </c>
      <c r="H6" s="81">
        <f>F6*G6</f>
        <v>0</v>
      </c>
      <c r="I6" s="156">
        <v>5</v>
      </c>
      <c r="J6" s="156">
        <v>29</v>
      </c>
      <c r="K6" s="81">
        <f>C6/I6*J6</f>
        <v>2111.1999999999998</v>
      </c>
      <c r="L6" s="83">
        <v>0</v>
      </c>
      <c r="M6" s="81">
        <f>E6*L6</f>
        <v>0</v>
      </c>
      <c r="N6" s="167">
        <f>INDEX($N$20:$N$41,MATCH(O6,$O$20:$O$41,0))</f>
        <v>1000</v>
      </c>
      <c r="O6" s="105" t="s">
        <v>788</v>
      </c>
      <c r="P6" s="91">
        <f>IF(ISERROR(VLOOKUP(O6,LG제품!$E$248:$F$267,2,0)),,VLOOKUP(O6,LG제품!$E$248:$F$267,2,0))</f>
        <v>1000</v>
      </c>
      <c r="Q6" s="105">
        <v>2</v>
      </c>
    </row>
    <row r="7" spans="1:17" s="34" customFormat="1" ht="18" customHeight="1">
      <c r="A7" s="301"/>
      <c r="B7" s="39" t="s">
        <v>144</v>
      </c>
      <c r="C7" s="14">
        <v>5.4</v>
      </c>
      <c r="D7" s="38">
        <v>3</v>
      </c>
      <c r="E7" s="38">
        <f t="shared" si="0"/>
        <v>16.200000000000003</v>
      </c>
      <c r="F7" s="156">
        <v>0</v>
      </c>
      <c r="G7" s="156">
        <v>0</v>
      </c>
      <c r="H7" s="81">
        <f>F7*G7</f>
        <v>0</v>
      </c>
      <c r="I7" s="156">
        <v>5</v>
      </c>
      <c r="J7" s="156">
        <v>29</v>
      </c>
      <c r="K7" s="81">
        <f>C7/I7*J7</f>
        <v>31.32</v>
      </c>
      <c r="L7" s="83">
        <v>0</v>
      </c>
      <c r="M7" s="81">
        <f>E7*L7</f>
        <v>0</v>
      </c>
      <c r="N7" s="179"/>
      <c r="O7" s="106"/>
      <c r="P7" s="161"/>
      <c r="Q7" s="106"/>
    </row>
    <row r="8" spans="1:17" s="34" customFormat="1" ht="18" customHeight="1">
      <c r="A8" s="301"/>
      <c r="B8" s="39" t="s">
        <v>176</v>
      </c>
      <c r="C8" s="14">
        <v>7.2</v>
      </c>
      <c r="D8" s="38">
        <v>3</v>
      </c>
      <c r="E8" s="38">
        <f>C8*D8</f>
        <v>21.6</v>
      </c>
      <c r="F8" s="156">
        <v>0</v>
      </c>
      <c r="G8" s="156">
        <v>0</v>
      </c>
      <c r="H8" s="81">
        <f>F8*G8</f>
        <v>0</v>
      </c>
      <c r="I8" s="156">
        <v>5</v>
      </c>
      <c r="J8" s="156">
        <v>29</v>
      </c>
      <c r="K8" s="81">
        <f>C8/I8*J8</f>
        <v>41.76</v>
      </c>
      <c r="L8" s="83">
        <v>0</v>
      </c>
      <c r="M8" s="81">
        <f>E8*L8</f>
        <v>0</v>
      </c>
      <c r="N8" s="179"/>
      <c r="O8" s="106"/>
      <c r="P8" s="161"/>
      <c r="Q8" s="106"/>
    </row>
    <row r="9" spans="1:17" s="34" customFormat="1" ht="18" customHeight="1">
      <c r="A9" s="302"/>
      <c r="B9" s="303" t="s">
        <v>177</v>
      </c>
      <c r="C9" s="304"/>
      <c r="D9" s="304"/>
      <c r="E9" s="305"/>
      <c r="F9" s="210"/>
      <c r="G9" s="210"/>
      <c r="H9" s="211"/>
      <c r="I9" s="212"/>
      <c r="J9" s="212"/>
      <c r="K9" s="213">
        <f>SUM(K6:K8)</f>
        <v>2184.2800000000002</v>
      </c>
      <c r="L9" s="214"/>
      <c r="M9" s="211"/>
      <c r="N9" s="180"/>
      <c r="O9" s="107"/>
      <c r="P9" s="162"/>
      <c r="Q9" s="107"/>
    </row>
    <row r="10" spans="1:17" s="34" customFormat="1" ht="18" customHeight="1">
      <c r="A10" s="297" t="s">
        <v>146</v>
      </c>
      <c r="B10" s="39" t="s">
        <v>147</v>
      </c>
      <c r="C10" s="14">
        <v>97.5</v>
      </c>
      <c r="D10" s="38">
        <v>3</v>
      </c>
      <c r="E10" s="38">
        <f>C10*D10</f>
        <v>292.5</v>
      </c>
      <c r="F10" s="156">
        <v>0</v>
      </c>
      <c r="G10" s="156">
        <v>0</v>
      </c>
      <c r="H10" s="81">
        <f>F10*G10</f>
        <v>0</v>
      </c>
      <c r="I10" s="156">
        <v>3</v>
      </c>
      <c r="J10" s="156">
        <v>29</v>
      </c>
      <c r="K10" s="81">
        <f>C10/I10*J10</f>
        <v>942.5</v>
      </c>
      <c r="L10" s="83">
        <v>0</v>
      </c>
      <c r="M10" s="81">
        <f>E10*L10</f>
        <v>0</v>
      </c>
      <c r="N10" s="167">
        <f>INDEX($N$20:$N$41,MATCH(O10,$O$20:$O$41,0))</f>
        <v>1000</v>
      </c>
      <c r="O10" s="105" t="s">
        <v>788</v>
      </c>
      <c r="P10" s="91">
        <f>IF(ISERROR(VLOOKUP(O10,LG제품!$E$248:$F$267,2,0)),,VLOOKUP(O10,LG제품!$E$248:$F$267,2,0))</f>
        <v>1000</v>
      </c>
      <c r="Q10" s="105">
        <v>1</v>
      </c>
    </row>
    <row r="11" spans="1:17" s="34" customFormat="1" ht="18" customHeight="1">
      <c r="A11" s="298"/>
      <c r="B11" s="303" t="s">
        <v>177</v>
      </c>
      <c r="C11" s="304"/>
      <c r="D11" s="304"/>
      <c r="E11" s="305"/>
      <c r="F11" s="210"/>
      <c r="G11" s="210"/>
      <c r="H11" s="211"/>
      <c r="I11" s="212"/>
      <c r="J11" s="212"/>
      <c r="K11" s="213">
        <f>SUM(K10)</f>
        <v>942.5</v>
      </c>
      <c r="L11" s="214"/>
      <c r="M11" s="211"/>
      <c r="N11" s="180"/>
      <c r="O11" s="107"/>
      <c r="P11" s="162"/>
      <c r="Q11" s="107"/>
    </row>
    <row r="12" spans="1:17" s="34" customFormat="1" ht="18" customHeight="1">
      <c r="A12" s="298"/>
      <c r="B12" s="39" t="s">
        <v>149</v>
      </c>
      <c r="C12" s="14">
        <v>99</v>
      </c>
      <c r="D12" s="38">
        <v>3</v>
      </c>
      <c r="E12" s="38">
        <f t="shared" si="0"/>
        <v>297</v>
      </c>
      <c r="F12" s="156">
        <v>0</v>
      </c>
      <c r="G12" s="156">
        <v>0</v>
      </c>
      <c r="H12" s="81">
        <f>F12*G12</f>
        <v>0</v>
      </c>
      <c r="I12" s="156">
        <v>3</v>
      </c>
      <c r="J12" s="156">
        <v>29</v>
      </c>
      <c r="K12" s="81">
        <f>C12/I12*J12</f>
        <v>957</v>
      </c>
      <c r="L12" s="83">
        <v>0</v>
      </c>
      <c r="M12" s="81">
        <f>E12*L12</f>
        <v>0</v>
      </c>
      <c r="N12" s="167">
        <f>INDEX($N$20:$N$41,MATCH(O12,$O$20:$O$41,0))</f>
        <v>1000</v>
      </c>
      <c r="O12" s="105" t="s">
        <v>788</v>
      </c>
      <c r="P12" s="91">
        <f>IF(ISERROR(VLOOKUP(O12,LG제품!$E$248:$F$267,2,0)),,VLOOKUP(O12,LG제품!$E$248:$F$267,2,0))</f>
        <v>1000</v>
      </c>
      <c r="Q12" s="105">
        <v>1</v>
      </c>
    </row>
    <row r="13" spans="1:17" s="34" customFormat="1" ht="18" customHeight="1">
      <c r="A13" s="298"/>
      <c r="B13" s="303" t="s">
        <v>177</v>
      </c>
      <c r="C13" s="304"/>
      <c r="D13" s="304"/>
      <c r="E13" s="305"/>
      <c r="F13" s="210"/>
      <c r="G13" s="210"/>
      <c r="H13" s="211"/>
      <c r="I13" s="212"/>
      <c r="J13" s="212"/>
      <c r="K13" s="213">
        <f>SUM(K12)</f>
        <v>957</v>
      </c>
      <c r="L13" s="214"/>
      <c r="M13" s="211"/>
      <c r="N13" s="180"/>
      <c r="O13" s="107"/>
      <c r="P13" s="162"/>
      <c r="Q13" s="107"/>
    </row>
    <row r="14" spans="1:17" s="34" customFormat="1" ht="18" customHeight="1">
      <c r="A14" s="298"/>
      <c r="B14" s="105" t="s">
        <v>178</v>
      </c>
      <c r="C14" s="14">
        <v>188.4</v>
      </c>
      <c r="D14" s="38">
        <v>3</v>
      </c>
      <c r="E14" s="38">
        <f t="shared" si="0"/>
        <v>565.20000000000005</v>
      </c>
      <c r="F14" s="156">
        <v>0</v>
      </c>
      <c r="G14" s="156">
        <v>0</v>
      </c>
      <c r="H14" s="81">
        <f>F14*G14</f>
        <v>0</v>
      </c>
      <c r="I14" s="158">
        <v>3</v>
      </c>
      <c r="J14" s="158">
        <v>29</v>
      </c>
      <c r="K14" s="82">
        <f>C14/I14*J14</f>
        <v>1821.2</v>
      </c>
      <c r="L14" s="84">
        <v>0</v>
      </c>
      <c r="M14" s="82">
        <f>E14*L14</f>
        <v>0</v>
      </c>
      <c r="N14" s="167">
        <f>INDEX($N$20:$N$41,MATCH(O14,$O$20:$O$41,0))</f>
        <v>1000</v>
      </c>
      <c r="O14" s="105" t="s">
        <v>788</v>
      </c>
      <c r="P14" s="91">
        <f>IF(ISERROR(VLOOKUP(O14,LG제품!$E$248:$F$267,2,0)),,VLOOKUP(O14,LG제품!$E$248:$F$267,2,0))</f>
        <v>1000</v>
      </c>
      <c r="Q14" s="105">
        <v>2</v>
      </c>
    </row>
    <row r="15" spans="1:17" s="34" customFormat="1" ht="18" customHeight="1">
      <c r="A15" s="299"/>
      <c r="B15" s="303" t="s">
        <v>177</v>
      </c>
      <c r="C15" s="304"/>
      <c r="D15" s="304"/>
      <c r="E15" s="305"/>
      <c r="F15" s="210"/>
      <c r="G15" s="210"/>
      <c r="H15" s="211"/>
      <c r="I15" s="210"/>
      <c r="J15" s="210"/>
      <c r="K15" s="215">
        <f>SUM(K14)</f>
        <v>1821.2</v>
      </c>
      <c r="L15" s="214"/>
      <c r="M15" s="211"/>
      <c r="N15" s="180"/>
      <c r="O15" s="107"/>
      <c r="P15" s="162"/>
      <c r="Q15" s="107"/>
    </row>
    <row r="16" spans="1:17" s="41" customFormat="1" ht="15" customHeight="1">
      <c r="A16" s="40"/>
      <c r="B16" s="48"/>
      <c r="C16" s="49"/>
      <c r="D16" s="49"/>
      <c r="E16" s="50"/>
      <c r="F16" s="48"/>
      <c r="G16" s="50"/>
      <c r="H16" s="51"/>
      <c r="I16" s="51"/>
      <c r="J16" s="51"/>
      <c r="K16" s="50"/>
      <c r="L16" s="50"/>
      <c r="M16" s="51"/>
      <c r="N16" s="194"/>
      <c r="O16" s="51"/>
      <c r="P16" s="51"/>
      <c r="Q16" s="48">
        <f>SUM(Q6:Q15)</f>
        <v>6</v>
      </c>
    </row>
    <row r="19" spans="14:16" s="41" customFormat="1" ht="18" customHeight="1">
      <c r="N19" s="310" t="s">
        <v>794</v>
      </c>
      <c r="O19" s="311"/>
      <c r="P19" s="312"/>
    </row>
    <row r="20" spans="14:16" s="41" customFormat="1" ht="18" customHeight="1">
      <c r="N20" s="177">
        <v>250</v>
      </c>
      <c r="O20" s="39" t="s">
        <v>780</v>
      </c>
      <c r="P20" s="46">
        <f>SUMPRODUCT(($O$6:$O$15=O20)*($Q$6:$Q$15))</f>
        <v>0</v>
      </c>
    </row>
    <row r="21" spans="14:16" s="41" customFormat="1" ht="18" customHeight="1">
      <c r="N21" s="170">
        <v>350</v>
      </c>
      <c r="O21" s="39" t="s">
        <v>782</v>
      </c>
      <c r="P21" s="46">
        <f>SUMPRODUCT(($O$6:$O$15=O21)*($Q$6:$Q$15))</f>
        <v>0</v>
      </c>
    </row>
    <row r="22" spans="14:16" s="41" customFormat="1" ht="18" customHeight="1">
      <c r="N22" s="177">
        <v>500</v>
      </c>
      <c r="O22" s="39" t="s">
        <v>784</v>
      </c>
      <c r="P22" s="46">
        <f t="shared" ref="P22:P26" si="1">SUMPRODUCT(($O$6:$O$15=O22)*($Q$6:$Q$15))</f>
        <v>0</v>
      </c>
    </row>
    <row r="23" spans="14:16" s="41" customFormat="1" ht="18" customHeight="1">
      <c r="N23" s="170">
        <v>800</v>
      </c>
      <c r="O23" s="39" t="s">
        <v>786</v>
      </c>
      <c r="P23" s="46">
        <f t="shared" si="1"/>
        <v>0</v>
      </c>
    </row>
    <row r="24" spans="14:16" s="41" customFormat="1" ht="18" customHeight="1">
      <c r="N24" s="177">
        <v>1000</v>
      </c>
      <c r="O24" s="39" t="s">
        <v>788</v>
      </c>
      <c r="P24" s="46">
        <f t="shared" si="1"/>
        <v>6</v>
      </c>
    </row>
    <row r="25" spans="14:16" s="41" customFormat="1" ht="18" customHeight="1">
      <c r="N25" s="170">
        <v>1500</v>
      </c>
      <c r="O25" s="39" t="s">
        <v>790</v>
      </c>
      <c r="P25" s="46">
        <f t="shared" si="1"/>
        <v>0</v>
      </c>
    </row>
    <row r="26" spans="14:16" s="41" customFormat="1" ht="18" customHeight="1">
      <c r="N26" s="177">
        <v>2000</v>
      </c>
      <c r="O26" s="39" t="s">
        <v>792</v>
      </c>
      <c r="P26" s="46">
        <f t="shared" si="1"/>
        <v>0</v>
      </c>
    </row>
    <row r="27" spans="14:16" s="41" customFormat="1" ht="18" customHeight="1">
      <c r="N27" s="177">
        <v>150</v>
      </c>
      <c r="O27" s="39" t="s">
        <v>1222</v>
      </c>
      <c r="P27" s="46">
        <f t="shared" ref="P27:P31" si="2">SUMPRODUCT(($O$6:$O$15=O27)*($Q$6:$Q$15))</f>
        <v>0</v>
      </c>
    </row>
    <row r="28" spans="14:16" s="41" customFormat="1" ht="18" customHeight="1">
      <c r="N28" s="177">
        <v>250</v>
      </c>
      <c r="O28" s="39" t="s">
        <v>1224</v>
      </c>
      <c r="P28" s="46">
        <f t="shared" si="2"/>
        <v>0</v>
      </c>
    </row>
    <row r="29" spans="14:16" s="41" customFormat="1" ht="18" customHeight="1">
      <c r="N29" s="170">
        <v>350</v>
      </c>
      <c r="O29" s="39" t="s">
        <v>1226</v>
      </c>
      <c r="P29" s="46">
        <f t="shared" si="2"/>
        <v>0</v>
      </c>
    </row>
    <row r="30" spans="14:16" s="41" customFormat="1" ht="18" customHeight="1">
      <c r="N30" s="177">
        <v>500</v>
      </c>
      <c r="O30" s="39" t="s">
        <v>1227</v>
      </c>
      <c r="P30" s="46">
        <f t="shared" si="2"/>
        <v>0</v>
      </c>
    </row>
    <row r="31" spans="14:16" s="41" customFormat="1" ht="18" customHeight="1">
      <c r="N31" s="170">
        <v>800</v>
      </c>
      <c r="O31" s="39" t="s">
        <v>1228</v>
      </c>
      <c r="P31" s="46">
        <f t="shared" si="2"/>
        <v>0</v>
      </c>
    </row>
    <row r="32" spans="14:16" s="41" customFormat="1" ht="18" customHeight="1">
      <c r="N32" s="313" t="s">
        <v>195</v>
      </c>
      <c r="O32" s="314"/>
      <c r="P32" s="216">
        <f>SUM(P20:P31)</f>
        <v>6</v>
      </c>
    </row>
    <row r="33" spans="14:16" s="41" customFormat="1" ht="18" customHeight="1">
      <c r="N33" s="310" t="s">
        <v>200</v>
      </c>
      <c r="O33" s="311"/>
      <c r="P33" s="312"/>
    </row>
    <row r="34" spans="14:16" s="41" customFormat="1" ht="18" customHeight="1">
      <c r="N34" s="170">
        <v>100</v>
      </c>
      <c r="O34" s="39" t="s">
        <v>990</v>
      </c>
      <c r="P34" s="46">
        <f>SUMPRODUCT(($O$6:$O$15=O34)*($Q$6:$Q$15))</f>
        <v>0</v>
      </c>
    </row>
    <row r="35" spans="14:16" s="41" customFormat="1" ht="18" customHeight="1">
      <c r="N35" s="170">
        <v>150</v>
      </c>
      <c r="O35" s="39" t="s">
        <v>992</v>
      </c>
      <c r="P35" s="46">
        <f t="shared" ref="P35:P39" si="3">SUMPRODUCT(($O$6:$O$15=O35)*($Q$6:$Q$15))</f>
        <v>0</v>
      </c>
    </row>
    <row r="36" spans="14:16" s="41" customFormat="1" ht="18" customHeight="1">
      <c r="N36" s="170">
        <v>200</v>
      </c>
      <c r="O36" s="39" t="s">
        <v>993</v>
      </c>
      <c r="P36" s="46">
        <f t="shared" si="3"/>
        <v>0</v>
      </c>
    </row>
    <row r="37" spans="14:16" s="41" customFormat="1" ht="18" customHeight="1">
      <c r="N37" s="170">
        <v>250</v>
      </c>
      <c r="O37" s="39" t="s">
        <v>994</v>
      </c>
      <c r="P37" s="46">
        <f t="shared" si="3"/>
        <v>0</v>
      </c>
    </row>
    <row r="38" spans="14:16">
      <c r="N38" s="170">
        <v>150</v>
      </c>
      <c r="O38" s="39" t="s">
        <v>846</v>
      </c>
      <c r="P38" s="46">
        <f t="shared" si="3"/>
        <v>0</v>
      </c>
    </row>
    <row r="39" spans="14:16">
      <c r="N39" s="177">
        <v>200</v>
      </c>
      <c r="O39" s="39" t="s">
        <v>848</v>
      </c>
      <c r="P39" s="46">
        <f t="shared" si="3"/>
        <v>0</v>
      </c>
    </row>
    <row r="40" spans="14:16">
      <c r="N40" s="177">
        <v>250</v>
      </c>
      <c r="O40" s="39" t="s">
        <v>850</v>
      </c>
      <c r="P40" s="46">
        <f t="shared" ref="P40" si="4">SUMPRODUCT(($O$6:$O$15=O40)*($Q$6:$Q$15))</f>
        <v>0</v>
      </c>
    </row>
    <row r="41" spans="14:16">
      <c r="N41" s="177">
        <v>350</v>
      </c>
      <c r="O41" s="39" t="s">
        <v>852</v>
      </c>
      <c r="P41" s="46">
        <f>SUMPRODUCT(($O$6:$O$15=O41)*($Q$6:$Q$15))</f>
        <v>0</v>
      </c>
    </row>
    <row r="42" spans="14:16">
      <c r="N42" s="313" t="s">
        <v>195</v>
      </c>
      <c r="O42" s="314"/>
      <c r="P42" s="216">
        <f>SUM(P34:P41)</f>
        <v>0</v>
      </c>
    </row>
  </sheetData>
  <mergeCells count="21">
    <mergeCell ref="N42:O42"/>
    <mergeCell ref="N32:O32"/>
    <mergeCell ref="N33:P33"/>
    <mergeCell ref="O3:Q3"/>
    <mergeCell ref="O4:O5"/>
    <mergeCell ref="F3:H3"/>
    <mergeCell ref="I3:K3"/>
    <mergeCell ref="N3:N5"/>
    <mergeCell ref="L3:M3"/>
    <mergeCell ref="N19:P19"/>
    <mergeCell ref="A10:A15"/>
    <mergeCell ref="A6:A9"/>
    <mergeCell ref="B11:E11"/>
    <mergeCell ref="B13:E13"/>
    <mergeCell ref="A3:A5"/>
    <mergeCell ref="B3:B5"/>
    <mergeCell ref="C3:C4"/>
    <mergeCell ref="B9:E9"/>
    <mergeCell ref="B15:E15"/>
    <mergeCell ref="D3:D4"/>
    <mergeCell ref="E3:E4"/>
  </mergeCells>
  <phoneticPr fontId="3" type="noConversion"/>
  <dataValidations count="2">
    <dataValidation type="list" allowBlank="1" showInputMessage="1" showErrorMessage="1" sqref="O43:O65543 O10 O1:O6 O16 O12 O14" xr:uid="{00000000-0002-0000-0100-000000000000}">
      <formula1>환기</formula1>
    </dataValidation>
    <dataValidation type="list" allowBlank="1" showInputMessage="1" showErrorMessage="1" sqref="F16:F65538 F1:F5 J16:J65538 J1:J5" xr:uid="{00000000-0002-0000-0100-000001000000}">
      <formula1>#REF!</formula1>
    </dataValidation>
  </dataValidations>
  <printOptions horizontalCentered="1"/>
  <pageMargins left="0.39370078740157483" right="0.39370078740157483" top="0.39370078740157483" bottom="0.39370078740157483" header="0" footer="0"/>
  <pageSetup paperSize="9" scale="80" orientation="landscape" r:id="rId1"/>
  <headerFooter alignWithMargins="0">
    <oddHeader>&amp;C&amp;"Calibri"&amp;12&amp;K000000 LGE Internal Use Only&amp;1#_x000D_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002060"/>
  </sheetPr>
  <dimension ref="A1:AA51"/>
  <sheetViews>
    <sheetView showGridLines="0" zoomScaleNormal="100" zoomScaleSheetLayoutView="90" workbookViewId="0">
      <selection activeCell="P30" sqref="P30"/>
    </sheetView>
  </sheetViews>
  <sheetFormatPr defaultRowHeight="18" customHeight="1"/>
  <cols>
    <col min="1" max="1" width="7" style="23" customWidth="1"/>
    <col min="2" max="2" width="15.109375" style="23" customWidth="1"/>
    <col min="3" max="7" width="7" style="22" customWidth="1"/>
    <col min="8" max="9" width="8.109375" style="22" customWidth="1"/>
    <col min="10" max="10" width="5" style="171" customWidth="1"/>
    <col min="11" max="11" width="12.21875" style="23" customWidth="1"/>
    <col min="12" max="13" width="10.109375" style="21" customWidth="1"/>
    <col min="14" max="14" width="4.44140625" style="20" customWidth="1"/>
    <col min="15" max="16" width="10.109375" style="21" customWidth="1"/>
    <col min="17" max="17" width="5" style="178" customWidth="1"/>
    <col min="18" max="18" width="12.21875" style="20" customWidth="1"/>
    <col min="19" max="20" width="10.109375" style="21" customWidth="1"/>
    <col min="21" max="21" width="4.44140625" style="21" customWidth="1"/>
    <col min="22" max="22" width="7.109375" style="20" customWidth="1"/>
    <col min="23" max="23" width="6.6640625" style="20" customWidth="1"/>
    <col min="24" max="16384" width="8.88671875" style="20"/>
  </cols>
  <sheetData>
    <row r="1" spans="1:27" s="5" customFormat="1" ht="22.5" customHeight="1">
      <c r="A1" s="1" t="s">
        <v>26</v>
      </c>
      <c r="B1" s="2"/>
      <c r="C1" s="3"/>
      <c r="D1" s="3"/>
      <c r="E1" s="3"/>
      <c r="F1" s="3"/>
      <c r="G1" s="3"/>
      <c r="H1" s="3"/>
      <c r="I1" s="3"/>
      <c r="J1" s="165"/>
      <c r="K1" s="2"/>
      <c r="L1" s="4"/>
      <c r="M1" s="4"/>
      <c r="O1" s="4"/>
      <c r="P1" s="4"/>
      <c r="Q1" s="172"/>
      <c r="S1" s="6"/>
      <c r="T1" s="6"/>
      <c r="U1" s="6"/>
      <c r="X1" s="7"/>
      <c r="Y1" s="7"/>
      <c r="Z1" s="7"/>
      <c r="AA1" s="7"/>
    </row>
    <row r="2" spans="1:27" s="5" customFormat="1" ht="11.25" customHeight="1">
      <c r="A2" s="2"/>
      <c r="B2" s="2"/>
      <c r="C2" s="8"/>
      <c r="D2" s="8"/>
      <c r="E2" s="8"/>
      <c r="F2" s="8"/>
      <c r="G2" s="8"/>
      <c r="H2" s="8"/>
      <c r="I2" s="8"/>
      <c r="J2" s="166"/>
      <c r="K2" s="2"/>
      <c r="L2" s="6"/>
      <c r="M2" s="6"/>
      <c r="O2" s="6"/>
      <c r="P2" s="6"/>
      <c r="Q2" s="172"/>
      <c r="S2" s="6"/>
      <c r="T2" s="6"/>
      <c r="U2" s="6"/>
      <c r="V2" s="9"/>
      <c r="W2" s="9" t="s">
        <v>3</v>
      </c>
      <c r="X2" s="7"/>
      <c r="Y2" s="7"/>
      <c r="Z2" s="7"/>
      <c r="AA2" s="7"/>
    </row>
    <row r="3" spans="1:27" s="5" customFormat="1" ht="18" customHeight="1">
      <c r="A3" s="320" t="s">
        <v>50</v>
      </c>
      <c r="B3" s="320" t="s">
        <v>51</v>
      </c>
      <c r="C3" s="218" t="s">
        <v>52</v>
      </c>
      <c r="D3" s="315" t="s">
        <v>53</v>
      </c>
      <c r="E3" s="315"/>
      <c r="F3" s="315" t="s">
        <v>54</v>
      </c>
      <c r="G3" s="315"/>
      <c r="H3" s="316" t="s">
        <v>98</v>
      </c>
      <c r="I3" s="316"/>
      <c r="J3" s="318" t="s">
        <v>307</v>
      </c>
      <c r="K3" s="306" t="s">
        <v>55</v>
      </c>
      <c r="L3" s="219" t="s">
        <v>56</v>
      </c>
      <c r="M3" s="219" t="s">
        <v>57</v>
      </c>
      <c r="N3" s="220" t="s">
        <v>58</v>
      </c>
      <c r="O3" s="219" t="s">
        <v>59</v>
      </c>
      <c r="P3" s="219" t="s">
        <v>60</v>
      </c>
      <c r="Q3" s="318" t="s">
        <v>331</v>
      </c>
      <c r="R3" s="306" t="s">
        <v>61</v>
      </c>
      <c r="S3" s="219" t="s">
        <v>62</v>
      </c>
      <c r="T3" s="219" t="s">
        <v>63</v>
      </c>
      <c r="U3" s="219" t="s">
        <v>58</v>
      </c>
      <c r="V3" s="317" t="s">
        <v>64</v>
      </c>
      <c r="W3" s="317" t="s">
        <v>65</v>
      </c>
    </row>
    <row r="4" spans="1:27" s="5" customFormat="1" ht="18" customHeight="1">
      <c r="A4" s="320"/>
      <c r="B4" s="320"/>
      <c r="C4" s="218" t="s">
        <v>66</v>
      </c>
      <c r="D4" s="218" t="s">
        <v>67</v>
      </c>
      <c r="E4" s="218" t="s">
        <v>68</v>
      </c>
      <c r="F4" s="218" t="s">
        <v>67</v>
      </c>
      <c r="G4" s="218" t="s">
        <v>68</v>
      </c>
      <c r="H4" s="221" t="s">
        <v>99</v>
      </c>
      <c r="I4" s="221" t="s">
        <v>100</v>
      </c>
      <c r="J4" s="319"/>
      <c r="K4" s="306"/>
      <c r="L4" s="219" t="s">
        <v>69</v>
      </c>
      <c r="M4" s="219" t="s">
        <v>69</v>
      </c>
      <c r="N4" s="220" t="s">
        <v>70</v>
      </c>
      <c r="O4" s="219" t="s">
        <v>69</v>
      </c>
      <c r="P4" s="219" t="s">
        <v>69</v>
      </c>
      <c r="Q4" s="319"/>
      <c r="R4" s="306"/>
      <c r="S4" s="219" t="s">
        <v>69</v>
      </c>
      <c r="T4" s="219" t="s">
        <v>69</v>
      </c>
      <c r="U4" s="219" t="s">
        <v>70</v>
      </c>
      <c r="V4" s="317"/>
      <c r="W4" s="317"/>
    </row>
    <row r="5" spans="1:27" s="27" customFormat="1" ht="18" customHeight="1">
      <c r="A5" s="300" t="s">
        <v>159</v>
      </c>
      <c r="B5" s="105" t="s">
        <v>160</v>
      </c>
      <c r="C5" s="10">
        <v>20</v>
      </c>
      <c r="D5" s="11">
        <v>140</v>
      </c>
      <c r="E5" s="11">
        <f>D5</f>
        <v>140</v>
      </c>
      <c r="F5" s="12">
        <f>D5/0.86</f>
        <v>162.7906976744186</v>
      </c>
      <c r="G5" s="12">
        <f>E5/0.86</f>
        <v>162.7906976744186</v>
      </c>
      <c r="H5" s="13">
        <f>C5*F5</f>
        <v>3255.8139534883721</v>
      </c>
      <c r="I5" s="13">
        <f>C5*G5</f>
        <v>3255.8139534883721</v>
      </c>
      <c r="J5" s="167" t="str">
        <f>INDEX($J$28:$J$50,MATCH(K5,$K$28:$K$50,0))</f>
        <v>40C</v>
      </c>
      <c r="K5" s="25" t="s">
        <v>1237</v>
      </c>
      <c r="L5" s="156">
        <f>IF(ISERROR(VLOOKUP(K5,LG제품!$A$3:$C$271,2,0)),,VLOOKUP(K5,LG제품!$A$3:$C$271,2,0))</f>
        <v>4000</v>
      </c>
      <c r="M5" s="156">
        <f>IF(ISERROR(VLOOKUP(K5,LG제품!$A$3:$C$271,3,0)),,VLOOKUP(K5,LG제품!$A$3:$C$271,3,0))</f>
        <v>4500</v>
      </c>
      <c r="N5" s="39">
        <v>3</v>
      </c>
      <c r="O5" s="156">
        <f>L5*N5</f>
        <v>12000</v>
      </c>
      <c r="P5" s="156">
        <f>M5*N5</f>
        <v>13500</v>
      </c>
      <c r="Q5" s="173">
        <f>INDEX($Q$28:$Q$48,MATCH(R5,$R$28:$R$48,0))</f>
        <v>8</v>
      </c>
      <c r="R5" s="108" t="s">
        <v>758</v>
      </c>
      <c r="S5" s="13">
        <f>IF(ISERROR(VLOOKUP(R5,LG제품!$E$3:$G$244,2,0)),,VLOOKUP(R5,LG제품!$E$3:$G$244,2,0))</f>
        <v>23300</v>
      </c>
      <c r="T5" s="13">
        <f>IF(ISERROR(VLOOKUP(R5,LG제품!$E$3:$G$244,3,0)),,VLOOKUP(R5,LG제품!$E$3:$G$244,3,0))</f>
        <v>25900</v>
      </c>
      <c r="U5" s="72">
        <v>1</v>
      </c>
      <c r="V5" s="75">
        <f>O7/S5</f>
        <v>0.77253218884120167</v>
      </c>
      <c r="W5" s="75"/>
    </row>
    <row r="6" spans="1:27" s="27" customFormat="1" ht="18" customHeight="1">
      <c r="A6" s="301"/>
      <c r="B6" s="39" t="s">
        <v>161</v>
      </c>
      <c r="C6" s="14">
        <v>5.4</v>
      </c>
      <c r="D6" s="15">
        <v>150</v>
      </c>
      <c r="E6" s="11">
        <f>D6</f>
        <v>150</v>
      </c>
      <c r="F6" s="12">
        <f>D6/0.86</f>
        <v>174.41860465116278</v>
      </c>
      <c r="G6" s="12">
        <f>E6/0.86</f>
        <v>174.41860465116278</v>
      </c>
      <c r="H6" s="13">
        <f>C6*F6</f>
        <v>941.8604651162791</v>
      </c>
      <c r="I6" s="13">
        <f>C6*G6</f>
        <v>941.8604651162791</v>
      </c>
      <c r="J6" s="167" t="str">
        <f>INDEX($J$28:$J$50,MATCH(K6,$K$28:$K$50,0))</f>
        <v>20C</v>
      </c>
      <c r="K6" s="25" t="s">
        <v>1234</v>
      </c>
      <c r="L6" s="156">
        <f>IF(ISERROR(VLOOKUP(K6,LG제품!$A$3:$C$271,2,0)),,VLOOKUP(K6,LG제품!$A$3:$C$271,2,0))</f>
        <v>2000</v>
      </c>
      <c r="M6" s="156">
        <f>IF(ISERROR(VLOOKUP(K6,LG제품!$A$3:$C$271,3,0)),,VLOOKUP(K6,LG제품!$A$3:$C$271,3,0))</f>
        <v>2200</v>
      </c>
      <c r="N6" s="39">
        <v>3</v>
      </c>
      <c r="O6" s="156">
        <f>L6*N6</f>
        <v>6000</v>
      </c>
      <c r="P6" s="156">
        <f>M6*N6</f>
        <v>6600</v>
      </c>
      <c r="Q6" s="174"/>
      <c r="R6" s="109"/>
      <c r="S6" s="64"/>
      <c r="T6" s="64"/>
      <c r="U6" s="73"/>
      <c r="V6" s="76"/>
      <c r="W6" s="76"/>
    </row>
    <row r="7" spans="1:27" s="27" customFormat="1" ht="18" customHeight="1">
      <c r="A7" s="301"/>
      <c r="B7" s="321" t="s">
        <v>162</v>
      </c>
      <c r="C7" s="321"/>
      <c r="D7" s="321"/>
      <c r="E7" s="321"/>
      <c r="F7" s="321"/>
      <c r="G7" s="321"/>
      <c r="H7" s="321"/>
      <c r="I7" s="321"/>
      <c r="J7" s="222"/>
      <c r="K7" s="223"/>
      <c r="L7" s="224"/>
      <c r="M7" s="224"/>
      <c r="N7" s="210">
        <f>SUM(N5:N6)</f>
        <v>6</v>
      </c>
      <c r="O7" s="224">
        <f>SUM(O5:O6)</f>
        <v>18000</v>
      </c>
      <c r="P7" s="224">
        <f>SUM(P5:P6)</f>
        <v>20100</v>
      </c>
      <c r="Q7" s="175"/>
      <c r="R7" s="110"/>
      <c r="S7" s="65"/>
      <c r="T7" s="65"/>
      <c r="U7" s="74"/>
      <c r="V7" s="77"/>
      <c r="W7" s="77"/>
    </row>
    <row r="8" spans="1:27" s="27" customFormat="1" ht="18" customHeight="1">
      <c r="A8" s="300" t="s">
        <v>163</v>
      </c>
      <c r="B8" s="39" t="s">
        <v>164</v>
      </c>
      <c r="C8" s="14">
        <v>97.5</v>
      </c>
      <c r="D8" s="155">
        <v>180</v>
      </c>
      <c r="E8" s="11">
        <f>D8</f>
        <v>180</v>
      </c>
      <c r="F8" s="12">
        <f t="shared" ref="F8:G12" si="0">D8/0.86</f>
        <v>209.30232558139537</v>
      </c>
      <c r="G8" s="12">
        <f t="shared" si="0"/>
        <v>209.30232558139537</v>
      </c>
      <c r="H8" s="13">
        <f>C8*F8</f>
        <v>20406.976744186049</v>
      </c>
      <c r="I8" s="13">
        <f>C8*G8</f>
        <v>20406.976744186049</v>
      </c>
      <c r="J8" s="167" t="str">
        <f>INDEX($J$28:$J$50,MATCH(K8,$K$28:$K$50,0))</f>
        <v>110T</v>
      </c>
      <c r="K8" s="25" t="s">
        <v>1128</v>
      </c>
      <c r="L8" s="156">
        <f>IF(ISERROR(VLOOKUP(K8,LG제품!$A$3:$C$271,2,0)),,VLOOKUP(K8,LG제품!$A$3:$C$271,2,0))</f>
        <v>11000</v>
      </c>
      <c r="M8" s="156">
        <f>IF(ISERROR(VLOOKUP(K8,LG제품!$A$3:$C$271,3,0)),,VLOOKUP(K8,LG제품!$A$3:$C$271,3,0))</f>
        <v>12400</v>
      </c>
      <c r="N8" s="39">
        <v>2</v>
      </c>
      <c r="O8" s="156">
        <f>L8*N8</f>
        <v>22000</v>
      </c>
      <c r="P8" s="156">
        <f>M8*N8</f>
        <v>24800</v>
      </c>
      <c r="Q8" s="173">
        <f>INDEX($Q$28:$Q$48,MATCH(R8,$R$28:$R$48,0))</f>
        <v>24</v>
      </c>
      <c r="R8" s="108" t="s">
        <v>766</v>
      </c>
      <c r="S8" s="13">
        <f>IF(ISERROR(VLOOKUP(R8,LG제품!$E$3:$G$244,2,0)),,VLOOKUP(R8,LG제품!$E$3:$G$244,2,0))</f>
        <v>69600</v>
      </c>
      <c r="T8" s="13">
        <f>IF(ISERROR(VLOOKUP(R8,LG제품!$E$3:$G$244,3,0)),,VLOOKUP(R8,LG제품!$E$3:$G$244,3,0))</f>
        <v>78400</v>
      </c>
      <c r="U8" s="72">
        <v>1</v>
      </c>
      <c r="V8" s="75">
        <f>O13/S8</f>
        <v>1.1063218390804597</v>
      </c>
      <c r="W8" s="75"/>
    </row>
    <row r="9" spans="1:27" s="27" customFormat="1" ht="18" customHeight="1">
      <c r="A9" s="301"/>
      <c r="B9" s="39" t="s">
        <v>165</v>
      </c>
      <c r="C9" s="14">
        <v>30.6</v>
      </c>
      <c r="D9" s="15">
        <v>150</v>
      </c>
      <c r="E9" s="11">
        <f>D9</f>
        <v>150</v>
      </c>
      <c r="F9" s="12">
        <f t="shared" si="0"/>
        <v>174.41860465116278</v>
      </c>
      <c r="G9" s="12">
        <f t="shared" si="0"/>
        <v>174.41860465116278</v>
      </c>
      <c r="H9" s="13">
        <f>C9*F9</f>
        <v>5337.2093023255811</v>
      </c>
      <c r="I9" s="13">
        <f>C9*G9</f>
        <v>5337.2093023255811</v>
      </c>
      <c r="J9" s="167" t="str">
        <f>INDEX($J$28:$J$50,MATCH(K9,$K$28:$K$50,0))</f>
        <v>110T</v>
      </c>
      <c r="K9" s="25" t="s">
        <v>1128</v>
      </c>
      <c r="L9" s="156">
        <f>IF(ISERROR(VLOOKUP(K9,LG제품!$A$3:$C$271,2,0)),,VLOOKUP(K9,LG제품!$A$3:$C$271,2,0))</f>
        <v>11000</v>
      </c>
      <c r="M9" s="156">
        <f>IF(ISERROR(VLOOKUP(K9,LG제품!$A$3:$C$271,3,0)),,VLOOKUP(K9,LG제품!$A$3:$C$271,3,0))</f>
        <v>12400</v>
      </c>
      <c r="N9" s="39">
        <v>1</v>
      </c>
      <c r="O9" s="156">
        <f>L9*N9</f>
        <v>11000</v>
      </c>
      <c r="P9" s="156">
        <f>M9*N9</f>
        <v>12400</v>
      </c>
      <c r="Q9" s="174"/>
      <c r="R9" s="109"/>
      <c r="S9" s="64"/>
      <c r="T9" s="64"/>
      <c r="U9" s="73"/>
      <c r="V9" s="76"/>
      <c r="W9" s="76"/>
    </row>
    <row r="10" spans="1:27" s="27" customFormat="1" ht="18" customHeight="1">
      <c r="A10" s="301"/>
      <c r="B10" s="39" t="s">
        <v>165</v>
      </c>
      <c r="C10" s="14">
        <v>27</v>
      </c>
      <c r="D10" s="15">
        <v>150</v>
      </c>
      <c r="E10" s="11">
        <f>D10</f>
        <v>150</v>
      </c>
      <c r="F10" s="12">
        <f t="shared" si="0"/>
        <v>174.41860465116278</v>
      </c>
      <c r="G10" s="12">
        <f t="shared" si="0"/>
        <v>174.41860465116278</v>
      </c>
      <c r="H10" s="13">
        <f>C10*F10</f>
        <v>4709.3023255813951</v>
      </c>
      <c r="I10" s="13">
        <f>C10*G10</f>
        <v>4709.3023255813951</v>
      </c>
      <c r="J10" s="167" t="str">
        <f>INDEX($J$28:$J$50,MATCH(K10,$K$28:$K$50,0))</f>
        <v>110T</v>
      </c>
      <c r="K10" s="25" t="s">
        <v>1128</v>
      </c>
      <c r="L10" s="156">
        <f>IF(ISERROR(VLOOKUP(K10,LG제품!$A$3:$C$271,2,0)),,VLOOKUP(K10,LG제품!$A$3:$C$271,2,0))</f>
        <v>11000</v>
      </c>
      <c r="M10" s="156">
        <f>IF(ISERROR(VLOOKUP(K10,LG제품!$A$3:$C$271,3,0)),,VLOOKUP(K10,LG제품!$A$3:$C$271,3,0))</f>
        <v>12400</v>
      </c>
      <c r="N10" s="39">
        <v>1</v>
      </c>
      <c r="O10" s="156">
        <f>L10*N10</f>
        <v>11000</v>
      </c>
      <c r="P10" s="156">
        <f>M10*N10</f>
        <v>12400</v>
      </c>
      <c r="Q10" s="174"/>
      <c r="R10" s="109"/>
      <c r="S10" s="64"/>
      <c r="T10" s="64"/>
      <c r="U10" s="73"/>
      <c r="V10" s="76"/>
      <c r="W10" s="76"/>
    </row>
    <row r="11" spans="1:27" s="27" customFormat="1" ht="18" customHeight="1">
      <c r="A11" s="301"/>
      <c r="B11" s="39" t="s">
        <v>166</v>
      </c>
      <c r="C11" s="14">
        <v>99</v>
      </c>
      <c r="D11" s="15">
        <v>180</v>
      </c>
      <c r="E11" s="11">
        <f>D11</f>
        <v>180</v>
      </c>
      <c r="F11" s="12">
        <f t="shared" si="0"/>
        <v>209.30232558139537</v>
      </c>
      <c r="G11" s="12">
        <f t="shared" si="0"/>
        <v>209.30232558139537</v>
      </c>
      <c r="H11" s="13">
        <f>C11*F11</f>
        <v>20720.930232558141</v>
      </c>
      <c r="I11" s="13">
        <f>C11*G11</f>
        <v>20720.930232558141</v>
      </c>
      <c r="J11" s="167" t="str">
        <f>INDEX($J$28:$J$50,MATCH(K11,$K$28:$K$50,0))</f>
        <v>110T</v>
      </c>
      <c r="K11" s="25" t="s">
        <v>1128</v>
      </c>
      <c r="L11" s="156">
        <f>IF(ISERROR(VLOOKUP(K11,LG제품!$A$3:$C$271,2,0)),,VLOOKUP(K11,LG제품!$A$3:$C$271,2,0))</f>
        <v>11000</v>
      </c>
      <c r="M11" s="156">
        <f>IF(ISERROR(VLOOKUP(K11,LG제품!$A$3:$C$271,3,0)),,VLOOKUP(K11,LG제품!$A$3:$C$271,3,0))</f>
        <v>12400</v>
      </c>
      <c r="N11" s="39">
        <v>2</v>
      </c>
      <c r="O11" s="156">
        <f>L11*N11</f>
        <v>22000</v>
      </c>
      <c r="P11" s="156">
        <f>M11*N11</f>
        <v>24800</v>
      </c>
      <c r="Q11" s="174"/>
      <c r="R11" s="109"/>
      <c r="S11" s="64"/>
      <c r="T11" s="64"/>
      <c r="U11" s="73"/>
      <c r="V11" s="76"/>
      <c r="W11" s="76"/>
    </row>
    <row r="12" spans="1:27" s="27" customFormat="1" ht="18" customHeight="1">
      <c r="A12" s="301"/>
      <c r="B12" s="39" t="s">
        <v>167</v>
      </c>
      <c r="C12" s="14">
        <v>22.2</v>
      </c>
      <c r="D12" s="15">
        <v>150</v>
      </c>
      <c r="E12" s="11">
        <f>D12</f>
        <v>150</v>
      </c>
      <c r="F12" s="12">
        <f t="shared" si="0"/>
        <v>174.41860465116278</v>
      </c>
      <c r="G12" s="12">
        <f t="shared" si="0"/>
        <v>174.41860465116278</v>
      </c>
      <c r="H12" s="13">
        <f>C12*F12</f>
        <v>3872.0930232558135</v>
      </c>
      <c r="I12" s="13">
        <f>C12*G12</f>
        <v>3872.0930232558135</v>
      </c>
      <c r="J12" s="167" t="str">
        <f>INDEX($J$28:$J$50,MATCH(K12,$K$28:$K$50,0))</f>
        <v>110T</v>
      </c>
      <c r="K12" s="25" t="s">
        <v>1128</v>
      </c>
      <c r="L12" s="156">
        <f>IF(ISERROR(VLOOKUP(K12,LG제품!$A$3:$C$271,2,0)),,VLOOKUP(K12,LG제품!$A$3:$C$271,2,0))</f>
        <v>11000</v>
      </c>
      <c r="M12" s="156">
        <f>IF(ISERROR(VLOOKUP(K12,LG제품!$A$3:$C$271,3,0)),,VLOOKUP(K12,LG제품!$A$3:$C$271,3,0))</f>
        <v>12400</v>
      </c>
      <c r="N12" s="39">
        <v>1</v>
      </c>
      <c r="O12" s="156">
        <f>L12*N12</f>
        <v>11000</v>
      </c>
      <c r="P12" s="156">
        <f>M12*N12</f>
        <v>12400</v>
      </c>
      <c r="Q12" s="174"/>
      <c r="R12" s="109"/>
      <c r="S12" s="64"/>
      <c r="T12" s="64"/>
      <c r="U12" s="73"/>
      <c r="V12" s="76"/>
      <c r="W12" s="76"/>
    </row>
    <row r="13" spans="1:27" s="27" customFormat="1" ht="18" customHeight="1">
      <c r="A13" s="301"/>
      <c r="B13" s="321" t="s">
        <v>162</v>
      </c>
      <c r="C13" s="321"/>
      <c r="D13" s="321"/>
      <c r="E13" s="321"/>
      <c r="F13" s="321"/>
      <c r="G13" s="321"/>
      <c r="H13" s="321"/>
      <c r="I13" s="321"/>
      <c r="J13" s="222"/>
      <c r="K13" s="223"/>
      <c r="L13" s="224"/>
      <c r="M13" s="224"/>
      <c r="N13" s="210">
        <f>SUM(N8:N12)</f>
        <v>7</v>
      </c>
      <c r="O13" s="224">
        <f>SUM(O8:O12)</f>
        <v>77000</v>
      </c>
      <c r="P13" s="224">
        <f>SUM(P8:P12)</f>
        <v>86800</v>
      </c>
      <c r="Q13" s="175"/>
      <c r="R13" s="110"/>
      <c r="S13" s="65"/>
      <c r="T13" s="65"/>
      <c r="U13" s="74"/>
      <c r="V13" s="77"/>
      <c r="W13" s="77"/>
    </row>
    <row r="14" spans="1:27" s="16" customFormat="1" ht="18" customHeight="1">
      <c r="A14" s="301"/>
      <c r="B14" s="39" t="s">
        <v>168</v>
      </c>
      <c r="C14" s="14">
        <v>64.8</v>
      </c>
      <c r="D14" s="15">
        <v>180</v>
      </c>
      <c r="E14" s="11">
        <f t="shared" ref="E14:E19" si="1">D14</f>
        <v>180</v>
      </c>
      <c r="F14" s="12">
        <f t="shared" ref="F14:G19" si="2">D14/0.86</f>
        <v>209.30232558139537</v>
      </c>
      <c r="G14" s="12">
        <f t="shared" si="2"/>
        <v>209.30232558139537</v>
      </c>
      <c r="H14" s="13">
        <f t="shared" ref="H14:H19" si="3">C14*F14</f>
        <v>13562.79069767442</v>
      </c>
      <c r="I14" s="13">
        <f t="shared" ref="I14:I19" si="4">C14*G14</f>
        <v>13562.79069767442</v>
      </c>
      <c r="J14" s="167" t="str">
        <f t="shared" ref="J14:J19" si="5">INDEX($J$28:$J$50,MATCH(K14,$K$28:$K$50,0))</f>
        <v>110T</v>
      </c>
      <c r="K14" s="25" t="s">
        <v>1128</v>
      </c>
      <c r="L14" s="156">
        <f>IF(ISERROR(VLOOKUP(K14,LG제품!$A$3:$C$271,2,0)),,VLOOKUP(K14,LG제품!$A$3:$C$271,2,0))</f>
        <v>11000</v>
      </c>
      <c r="M14" s="156">
        <f>IF(ISERROR(VLOOKUP(K14,LG제품!$A$3:$C$271,3,0)),,VLOOKUP(K14,LG제품!$A$3:$C$271,3,0))</f>
        <v>12400</v>
      </c>
      <c r="N14" s="39">
        <v>1</v>
      </c>
      <c r="O14" s="157">
        <f t="shared" ref="O14:O19" si="6">L14*N14</f>
        <v>11000</v>
      </c>
      <c r="P14" s="157">
        <f t="shared" ref="P14:P19" si="7">M14*N14</f>
        <v>12400</v>
      </c>
      <c r="Q14" s="173">
        <f>INDEX($Q$28:$Q$48,MATCH(R14,$R$28:$R$48,0))</f>
        <v>24</v>
      </c>
      <c r="R14" s="108" t="s">
        <v>766</v>
      </c>
      <c r="S14" s="13">
        <f>IF(ISERROR(VLOOKUP(R14,LG제품!$E$3:$G$244,2,0)),,VLOOKUP(R14,LG제품!$E$3:$G$244,2,0))</f>
        <v>69600</v>
      </c>
      <c r="T14" s="13">
        <f>IF(ISERROR(VLOOKUP(R14,LG제품!$E$3:$G$244,3,0)),,VLOOKUP(R14,LG제품!$E$3:$G$244,3,0))</f>
        <v>78400</v>
      </c>
      <c r="U14" s="72">
        <v>1</v>
      </c>
      <c r="V14" s="75">
        <f>O20/S14</f>
        <v>1.1063218390804597</v>
      </c>
      <c r="W14" s="108"/>
    </row>
    <row r="15" spans="1:27" s="16" customFormat="1" ht="18" customHeight="1">
      <c r="A15" s="301"/>
      <c r="B15" s="39" t="s">
        <v>169</v>
      </c>
      <c r="C15" s="14">
        <v>16.899999999999999</v>
      </c>
      <c r="D15" s="15">
        <v>150</v>
      </c>
      <c r="E15" s="11">
        <f t="shared" si="1"/>
        <v>150</v>
      </c>
      <c r="F15" s="12">
        <f t="shared" si="2"/>
        <v>174.41860465116278</v>
      </c>
      <c r="G15" s="12">
        <f t="shared" si="2"/>
        <v>174.41860465116278</v>
      </c>
      <c r="H15" s="13">
        <f t="shared" si="3"/>
        <v>2947.6744186046508</v>
      </c>
      <c r="I15" s="13">
        <f t="shared" si="4"/>
        <v>2947.6744186046508</v>
      </c>
      <c r="J15" s="167" t="str">
        <f t="shared" si="5"/>
        <v>110T</v>
      </c>
      <c r="K15" s="25" t="s">
        <v>1128</v>
      </c>
      <c r="L15" s="156">
        <f>IF(ISERROR(VLOOKUP(K15,LG제품!$A$3:$C$271,2,0)),,VLOOKUP(K15,LG제품!$A$3:$C$271,2,0))</f>
        <v>11000</v>
      </c>
      <c r="M15" s="156">
        <f>IF(ISERROR(VLOOKUP(K15,LG제품!$A$3:$C$271,3,0)),,VLOOKUP(K15,LG제품!$A$3:$C$271,3,0))</f>
        <v>12400</v>
      </c>
      <c r="N15" s="39">
        <v>1</v>
      </c>
      <c r="O15" s="157">
        <f t="shared" si="6"/>
        <v>11000</v>
      </c>
      <c r="P15" s="157">
        <f t="shared" si="7"/>
        <v>12400</v>
      </c>
      <c r="Q15" s="174"/>
      <c r="R15" s="109"/>
      <c r="S15" s="64"/>
      <c r="T15" s="64"/>
      <c r="U15" s="73"/>
      <c r="V15" s="76"/>
      <c r="W15" s="109"/>
    </row>
    <row r="16" spans="1:27" s="16" customFormat="1" ht="18" customHeight="1">
      <c r="A16" s="301"/>
      <c r="B16" s="39" t="s">
        <v>170</v>
      </c>
      <c r="C16" s="14">
        <v>66.2</v>
      </c>
      <c r="D16" s="15">
        <v>160</v>
      </c>
      <c r="E16" s="11">
        <f t="shared" si="1"/>
        <v>160</v>
      </c>
      <c r="F16" s="12">
        <f t="shared" si="2"/>
        <v>186.04651162790697</v>
      </c>
      <c r="G16" s="12">
        <f t="shared" si="2"/>
        <v>186.04651162790697</v>
      </c>
      <c r="H16" s="13">
        <f t="shared" si="3"/>
        <v>12316.279069767441</v>
      </c>
      <c r="I16" s="13">
        <f t="shared" si="4"/>
        <v>12316.279069767441</v>
      </c>
      <c r="J16" s="167" t="str">
        <f t="shared" si="5"/>
        <v>110T</v>
      </c>
      <c r="K16" s="25" t="s">
        <v>1128</v>
      </c>
      <c r="L16" s="156">
        <f>IF(ISERROR(VLOOKUP(K16,LG제품!$A$3:$C$271,2,0)),,VLOOKUP(K16,LG제품!$A$3:$C$271,2,0))</f>
        <v>11000</v>
      </c>
      <c r="M16" s="156">
        <f>IF(ISERROR(VLOOKUP(K16,LG제품!$A$3:$C$271,3,0)),,VLOOKUP(K16,LG제품!$A$3:$C$271,3,0))</f>
        <v>12400</v>
      </c>
      <c r="N16" s="39">
        <v>1</v>
      </c>
      <c r="O16" s="157">
        <f t="shared" si="6"/>
        <v>11000</v>
      </c>
      <c r="P16" s="157">
        <f t="shared" si="7"/>
        <v>12400</v>
      </c>
      <c r="Q16" s="174"/>
      <c r="R16" s="109"/>
      <c r="S16" s="64"/>
      <c r="T16" s="64"/>
      <c r="U16" s="73"/>
      <c r="V16" s="76"/>
      <c r="W16" s="109"/>
    </row>
    <row r="17" spans="1:23" s="16" customFormat="1" ht="18" customHeight="1">
      <c r="A17" s="301"/>
      <c r="B17" s="39" t="s">
        <v>171</v>
      </c>
      <c r="C17" s="14">
        <v>32.200000000000003</v>
      </c>
      <c r="D17" s="15">
        <v>170</v>
      </c>
      <c r="E17" s="11">
        <f t="shared" si="1"/>
        <v>170</v>
      </c>
      <c r="F17" s="12">
        <f t="shared" si="2"/>
        <v>197.67441860465118</v>
      </c>
      <c r="G17" s="12">
        <f t="shared" si="2"/>
        <v>197.67441860465118</v>
      </c>
      <c r="H17" s="13">
        <f t="shared" si="3"/>
        <v>6365.116279069769</v>
      </c>
      <c r="I17" s="13">
        <f t="shared" si="4"/>
        <v>6365.116279069769</v>
      </c>
      <c r="J17" s="167" t="str">
        <f t="shared" si="5"/>
        <v>110T</v>
      </c>
      <c r="K17" s="25" t="s">
        <v>1128</v>
      </c>
      <c r="L17" s="156">
        <f>IF(ISERROR(VLOOKUP(K17,LG제품!$A$3:$C$271,2,0)),,VLOOKUP(K17,LG제품!$A$3:$C$271,2,0))</f>
        <v>11000</v>
      </c>
      <c r="M17" s="156">
        <f>IF(ISERROR(VLOOKUP(K17,LG제품!$A$3:$C$271,3,0)),,VLOOKUP(K17,LG제품!$A$3:$C$271,3,0))</f>
        <v>12400</v>
      </c>
      <c r="N17" s="39">
        <v>1</v>
      </c>
      <c r="O17" s="157">
        <f t="shared" si="6"/>
        <v>11000</v>
      </c>
      <c r="P17" s="157">
        <f t="shared" si="7"/>
        <v>12400</v>
      </c>
      <c r="Q17" s="174"/>
      <c r="R17" s="109"/>
      <c r="S17" s="64"/>
      <c r="T17" s="64"/>
      <c r="U17" s="73"/>
      <c r="V17" s="76"/>
      <c r="W17" s="109"/>
    </row>
    <row r="18" spans="1:23" s="16" customFormat="1" ht="18" customHeight="1">
      <c r="A18" s="301"/>
      <c r="B18" s="39" t="s">
        <v>172</v>
      </c>
      <c r="C18" s="14">
        <v>32.200000000000003</v>
      </c>
      <c r="D18" s="15">
        <v>170</v>
      </c>
      <c r="E18" s="11">
        <f t="shared" si="1"/>
        <v>170</v>
      </c>
      <c r="F18" s="12">
        <f t="shared" si="2"/>
        <v>197.67441860465118</v>
      </c>
      <c r="G18" s="12">
        <f t="shared" si="2"/>
        <v>197.67441860465118</v>
      </c>
      <c r="H18" s="13">
        <f t="shared" si="3"/>
        <v>6365.116279069769</v>
      </c>
      <c r="I18" s="13">
        <f t="shared" si="4"/>
        <v>6365.116279069769</v>
      </c>
      <c r="J18" s="167" t="str">
        <f t="shared" si="5"/>
        <v>110T</v>
      </c>
      <c r="K18" s="25" t="s">
        <v>1128</v>
      </c>
      <c r="L18" s="156">
        <f>IF(ISERROR(VLOOKUP(K18,LG제품!$A$3:$C$271,2,0)),,VLOOKUP(K18,LG제품!$A$3:$C$271,2,0))</f>
        <v>11000</v>
      </c>
      <c r="M18" s="156">
        <f>IF(ISERROR(VLOOKUP(K18,LG제품!$A$3:$C$271,3,0)),,VLOOKUP(K18,LG제품!$A$3:$C$271,3,0))</f>
        <v>12400</v>
      </c>
      <c r="N18" s="39">
        <v>1</v>
      </c>
      <c r="O18" s="157">
        <f t="shared" si="6"/>
        <v>11000</v>
      </c>
      <c r="P18" s="157">
        <f t="shared" si="7"/>
        <v>12400</v>
      </c>
      <c r="Q18" s="174"/>
      <c r="R18" s="109"/>
      <c r="S18" s="64"/>
      <c r="T18" s="64"/>
      <c r="U18" s="73"/>
      <c r="V18" s="76"/>
      <c r="W18" s="109"/>
    </row>
    <row r="19" spans="1:23" s="16" customFormat="1" ht="18" customHeight="1">
      <c r="A19" s="301"/>
      <c r="B19" s="39" t="s">
        <v>173</v>
      </c>
      <c r="C19" s="14">
        <v>65.2</v>
      </c>
      <c r="D19" s="15">
        <v>170</v>
      </c>
      <c r="E19" s="11">
        <f t="shared" si="1"/>
        <v>170</v>
      </c>
      <c r="F19" s="12">
        <f t="shared" si="2"/>
        <v>197.67441860465118</v>
      </c>
      <c r="G19" s="12">
        <f t="shared" si="2"/>
        <v>197.67441860465118</v>
      </c>
      <c r="H19" s="13">
        <f t="shared" si="3"/>
        <v>12888.372093023258</v>
      </c>
      <c r="I19" s="13">
        <f t="shared" si="4"/>
        <v>12888.372093023258</v>
      </c>
      <c r="J19" s="167" t="str">
        <f t="shared" si="5"/>
        <v>110T</v>
      </c>
      <c r="K19" s="25" t="s">
        <v>1128</v>
      </c>
      <c r="L19" s="156">
        <f>IF(ISERROR(VLOOKUP(K19,LG제품!$A$3:$C$271,2,0)),,VLOOKUP(K19,LG제품!$A$3:$C$271,2,0))</f>
        <v>11000</v>
      </c>
      <c r="M19" s="156">
        <f>IF(ISERROR(VLOOKUP(K19,LG제품!$A$3:$C$271,3,0)),,VLOOKUP(K19,LG제품!$A$3:$C$271,3,0))</f>
        <v>12400</v>
      </c>
      <c r="N19" s="39">
        <v>2</v>
      </c>
      <c r="O19" s="157">
        <f t="shared" si="6"/>
        <v>22000</v>
      </c>
      <c r="P19" s="157">
        <f t="shared" si="7"/>
        <v>24800</v>
      </c>
      <c r="Q19" s="174"/>
      <c r="R19" s="109"/>
      <c r="S19" s="64"/>
      <c r="T19" s="64"/>
      <c r="U19" s="73"/>
      <c r="V19" s="76"/>
      <c r="W19" s="109"/>
    </row>
    <row r="20" spans="1:23" s="27" customFormat="1" ht="18" customHeight="1">
      <c r="A20" s="302"/>
      <c r="B20" s="321" t="s">
        <v>162</v>
      </c>
      <c r="C20" s="321"/>
      <c r="D20" s="321"/>
      <c r="E20" s="321"/>
      <c r="F20" s="321"/>
      <c r="G20" s="321"/>
      <c r="H20" s="321"/>
      <c r="I20" s="321"/>
      <c r="J20" s="222"/>
      <c r="K20" s="223"/>
      <c r="L20" s="225"/>
      <c r="M20" s="225"/>
      <c r="N20" s="210">
        <f>SUM(N14:N19)</f>
        <v>7</v>
      </c>
      <c r="O20" s="224">
        <f>SUM(O14:O19)</f>
        <v>77000</v>
      </c>
      <c r="P20" s="224">
        <f>SUM(P14:P19)</f>
        <v>86800</v>
      </c>
      <c r="Q20" s="175"/>
      <c r="R20" s="110"/>
      <c r="S20" s="65"/>
      <c r="T20" s="65"/>
      <c r="U20" s="74"/>
      <c r="V20" s="77"/>
      <c r="W20" s="110"/>
    </row>
    <row r="21" spans="1:23" s="27" customFormat="1" ht="18" customHeight="1">
      <c r="A21" s="30"/>
      <c r="B21" s="30"/>
      <c r="C21" s="24"/>
      <c r="D21" s="24"/>
      <c r="E21" s="24"/>
      <c r="F21" s="24"/>
      <c r="G21" s="24"/>
      <c r="H21" s="24"/>
      <c r="I21" s="24"/>
      <c r="J21" s="168"/>
      <c r="K21" s="30"/>
      <c r="L21" s="26"/>
      <c r="M21" s="26"/>
      <c r="N21" s="30">
        <f>SUM(N20,N13,N7)</f>
        <v>20</v>
      </c>
      <c r="O21" s="26"/>
      <c r="P21" s="26"/>
      <c r="Q21" s="176"/>
      <c r="S21" s="26"/>
      <c r="T21" s="26"/>
      <c r="U21" s="31">
        <f>SUM(U5:U20)</f>
        <v>3</v>
      </c>
    </row>
    <row r="22" spans="1:23" s="16" customFormat="1" ht="14.1" customHeight="1">
      <c r="A22" s="16" t="s">
        <v>174</v>
      </c>
      <c r="C22" s="159"/>
      <c r="D22" s="159"/>
      <c r="E22" s="159"/>
      <c r="F22" s="159"/>
      <c r="G22" s="159"/>
      <c r="H22" s="159"/>
      <c r="I22" s="159"/>
      <c r="J22" s="169"/>
      <c r="L22" s="160"/>
      <c r="M22" s="160"/>
      <c r="N22" s="30"/>
      <c r="O22" s="160"/>
      <c r="P22" s="160"/>
      <c r="Q22" s="176"/>
      <c r="S22" s="160"/>
      <c r="T22" s="160"/>
      <c r="U22" s="160"/>
    </row>
    <row r="23" spans="1:23" s="16" customFormat="1" ht="14.1" customHeight="1">
      <c r="A23" s="16" t="s">
        <v>175</v>
      </c>
      <c r="C23" s="159"/>
      <c r="D23" s="159"/>
      <c r="E23" s="159"/>
      <c r="F23" s="159"/>
      <c r="G23" s="159"/>
      <c r="H23" s="159"/>
      <c r="I23" s="159"/>
      <c r="J23" s="169"/>
      <c r="L23" s="160"/>
      <c r="M23" s="160"/>
      <c r="N23" s="30"/>
      <c r="O23" s="160"/>
      <c r="P23" s="160"/>
      <c r="Q23" s="176"/>
      <c r="S23" s="160"/>
      <c r="T23" s="160"/>
      <c r="U23" s="160"/>
    </row>
    <row r="24" spans="1:23" s="16" customFormat="1" ht="14.1" customHeight="1">
      <c r="A24" s="16" t="s">
        <v>10</v>
      </c>
      <c r="C24" s="159"/>
      <c r="D24" s="159"/>
      <c r="E24" s="159"/>
      <c r="F24" s="159"/>
      <c r="G24" s="159"/>
      <c r="H24" s="159"/>
      <c r="I24" s="159"/>
      <c r="J24" s="169"/>
      <c r="L24" s="160"/>
      <c r="M24" s="160"/>
      <c r="N24" s="30"/>
      <c r="O24" s="160"/>
      <c r="P24" s="160"/>
      <c r="Q24" s="176"/>
      <c r="S24" s="160"/>
      <c r="T24" s="160"/>
      <c r="U24" s="160"/>
    </row>
    <row r="25" spans="1:23" s="16" customFormat="1" ht="14.1" customHeight="1">
      <c r="A25" s="16" t="s">
        <v>11</v>
      </c>
      <c r="C25" s="159"/>
      <c r="D25" s="159"/>
      <c r="E25" s="159"/>
      <c r="F25" s="159"/>
      <c r="G25" s="159"/>
      <c r="H25" s="159"/>
      <c r="I25" s="159"/>
      <c r="J25" s="169"/>
      <c r="L25" s="160"/>
      <c r="M25" s="160"/>
      <c r="N25" s="30"/>
      <c r="O25" s="160"/>
      <c r="P25" s="160"/>
      <c r="Q25" s="176"/>
      <c r="S25" s="160"/>
      <c r="T25" s="160"/>
      <c r="U25" s="160"/>
    </row>
    <row r="26" spans="1:23" s="27" customFormat="1" ht="18" customHeight="1">
      <c r="A26" s="30"/>
      <c r="B26" s="30"/>
      <c r="C26" s="24"/>
      <c r="D26" s="24"/>
      <c r="E26" s="24"/>
      <c r="F26" s="24"/>
      <c r="G26" s="24"/>
      <c r="H26" s="24"/>
      <c r="I26" s="24"/>
      <c r="J26" s="168"/>
      <c r="K26" s="30"/>
      <c r="L26" s="26"/>
      <c r="M26" s="26"/>
      <c r="O26" s="26"/>
      <c r="P26" s="26"/>
      <c r="Q26" s="176"/>
      <c r="S26" s="26"/>
      <c r="T26" s="26"/>
      <c r="U26" s="26"/>
    </row>
    <row r="27" spans="1:23" s="27" customFormat="1" ht="18" customHeight="1">
      <c r="A27" s="30"/>
      <c r="B27" s="30"/>
      <c r="C27" s="24"/>
      <c r="D27" s="24"/>
      <c r="E27" s="24"/>
      <c r="F27" s="24"/>
      <c r="G27" s="24"/>
      <c r="H27" s="24"/>
      <c r="I27" s="24"/>
      <c r="J27" s="310" t="s">
        <v>196</v>
      </c>
      <c r="K27" s="311"/>
      <c r="L27" s="312"/>
      <c r="M27" s="26"/>
      <c r="O27" s="26"/>
      <c r="P27" s="26"/>
      <c r="Q27" s="310" t="s">
        <v>197</v>
      </c>
      <c r="R27" s="311"/>
      <c r="S27" s="312"/>
      <c r="T27" s="26"/>
      <c r="U27" s="243" t="s">
        <v>1160</v>
      </c>
      <c r="V27" s="47" t="s">
        <v>1161</v>
      </c>
    </row>
    <row r="28" spans="1:23" s="27" customFormat="1" ht="18" customHeight="1">
      <c r="A28" s="30"/>
      <c r="B28" s="30"/>
      <c r="C28" s="24"/>
      <c r="D28" s="24"/>
      <c r="E28" s="24"/>
      <c r="F28" s="24"/>
      <c r="G28" s="24"/>
      <c r="H28" s="24"/>
      <c r="I28" s="24"/>
      <c r="J28" s="170" t="s">
        <v>308</v>
      </c>
      <c r="K28" s="25" t="s">
        <v>1234</v>
      </c>
      <c r="L28" s="46">
        <f t="shared" ref="L28:L50" si="8">SUMPRODUCT(($K$5:$K$20=K28)*($N$5:$N$20))</f>
        <v>3</v>
      </c>
      <c r="M28" s="26"/>
      <c r="O28" s="26"/>
      <c r="P28" s="26"/>
      <c r="Q28" s="177">
        <v>8</v>
      </c>
      <c r="R28" s="29" t="s">
        <v>758</v>
      </c>
      <c r="S28" s="46">
        <f t="shared" ref="S28:S48" si="9">SUMPRODUCT(($R$5:$R$20=R28)*($U$5:$U$20))</f>
        <v>1</v>
      </c>
      <c r="T28" s="26"/>
      <c r="U28" s="243" t="str">
        <f t="shared" ref="U28:U48" si="10">MID(R28,5,2)</f>
        <v>08</v>
      </c>
      <c r="V28" s="47">
        <f>U28*S28</f>
        <v>8</v>
      </c>
    </row>
    <row r="29" spans="1:23" s="27" customFormat="1" ht="18" customHeight="1">
      <c r="A29" s="30"/>
      <c r="B29" s="30"/>
      <c r="C29" s="24"/>
      <c r="D29" s="24"/>
      <c r="E29" s="24"/>
      <c r="F29" s="24"/>
      <c r="G29" s="24"/>
      <c r="H29" s="24"/>
      <c r="I29" s="24"/>
      <c r="J29" s="170" t="s">
        <v>309</v>
      </c>
      <c r="K29" s="25" t="s">
        <v>1235</v>
      </c>
      <c r="L29" s="46">
        <f t="shared" si="8"/>
        <v>0</v>
      </c>
      <c r="M29" s="26"/>
      <c r="O29" s="26"/>
      <c r="P29" s="26"/>
      <c r="Q29" s="177">
        <v>10</v>
      </c>
      <c r="R29" s="29" t="s">
        <v>759</v>
      </c>
      <c r="S29" s="46">
        <f t="shared" si="9"/>
        <v>0</v>
      </c>
      <c r="T29" s="26"/>
      <c r="U29" s="243" t="str">
        <f t="shared" si="10"/>
        <v>10</v>
      </c>
      <c r="V29" s="47">
        <f t="shared" ref="V29:V48" si="11">U29*S29</f>
        <v>0</v>
      </c>
    </row>
    <row r="30" spans="1:23" s="27" customFormat="1" ht="18" customHeight="1">
      <c r="A30" s="30"/>
      <c r="B30" s="30"/>
      <c r="C30" s="24"/>
      <c r="D30" s="24"/>
      <c r="E30" s="24"/>
      <c r="F30" s="24"/>
      <c r="G30" s="24"/>
      <c r="H30" s="24"/>
      <c r="I30" s="24"/>
      <c r="J30" s="170" t="s">
        <v>310</v>
      </c>
      <c r="K30" s="25" t="s">
        <v>1236</v>
      </c>
      <c r="L30" s="46">
        <f t="shared" si="8"/>
        <v>0</v>
      </c>
      <c r="M30" s="26"/>
      <c r="O30" s="26"/>
      <c r="P30" s="26"/>
      <c r="Q30" s="177">
        <v>12</v>
      </c>
      <c r="R30" s="29" t="s">
        <v>760</v>
      </c>
      <c r="S30" s="46">
        <f t="shared" si="9"/>
        <v>0</v>
      </c>
      <c r="T30" s="26"/>
      <c r="U30" s="243" t="str">
        <f t="shared" si="10"/>
        <v>12</v>
      </c>
      <c r="V30" s="47">
        <f t="shared" si="11"/>
        <v>0</v>
      </c>
    </row>
    <row r="31" spans="1:23" s="27" customFormat="1" ht="18" customHeight="1">
      <c r="A31" s="30"/>
      <c r="B31" s="30"/>
      <c r="C31" s="24"/>
      <c r="D31" s="24"/>
      <c r="E31" s="24"/>
      <c r="F31" s="24"/>
      <c r="G31" s="24"/>
      <c r="H31" s="24"/>
      <c r="I31" s="24"/>
      <c r="J31" s="170" t="s">
        <v>311</v>
      </c>
      <c r="K31" s="25" t="s">
        <v>1237</v>
      </c>
      <c r="L31" s="46">
        <f t="shared" si="8"/>
        <v>3</v>
      </c>
      <c r="M31" s="26"/>
      <c r="O31" s="26"/>
      <c r="P31" s="26"/>
      <c r="Q31" s="177">
        <v>14</v>
      </c>
      <c r="R31" s="108" t="s">
        <v>761</v>
      </c>
      <c r="S31" s="46">
        <f t="shared" si="9"/>
        <v>0</v>
      </c>
      <c r="T31" s="26"/>
      <c r="U31" s="243" t="str">
        <f t="shared" si="10"/>
        <v>14</v>
      </c>
      <c r="V31" s="47">
        <f t="shared" si="11"/>
        <v>0</v>
      </c>
    </row>
    <row r="32" spans="1:23" s="27" customFormat="1" ht="18" customHeight="1">
      <c r="A32" s="30"/>
      <c r="B32" s="30"/>
      <c r="C32" s="24"/>
      <c r="D32" s="24"/>
      <c r="E32" s="24"/>
      <c r="F32" s="24"/>
      <c r="G32" s="24"/>
      <c r="H32" s="24"/>
      <c r="I32" s="24"/>
      <c r="J32" s="170" t="s">
        <v>312</v>
      </c>
      <c r="K32" s="25" t="s">
        <v>1238</v>
      </c>
      <c r="L32" s="46">
        <f t="shared" si="8"/>
        <v>0</v>
      </c>
      <c r="M32" s="26"/>
      <c r="O32" s="26"/>
      <c r="P32" s="26"/>
      <c r="Q32" s="177">
        <v>16</v>
      </c>
      <c r="R32" s="28" t="s">
        <v>762</v>
      </c>
      <c r="S32" s="46">
        <f t="shared" si="9"/>
        <v>0</v>
      </c>
      <c r="T32" s="26"/>
      <c r="U32" s="243" t="str">
        <f t="shared" si="10"/>
        <v>16</v>
      </c>
      <c r="V32" s="47">
        <f t="shared" si="11"/>
        <v>0</v>
      </c>
    </row>
    <row r="33" spans="10:22" s="27" customFormat="1" ht="18" customHeight="1">
      <c r="J33" s="170" t="s">
        <v>313</v>
      </c>
      <c r="K33" s="25" t="s">
        <v>1239</v>
      </c>
      <c r="L33" s="46">
        <f t="shared" si="8"/>
        <v>0</v>
      </c>
      <c r="M33" s="26"/>
      <c r="O33" s="26"/>
      <c r="P33" s="26"/>
      <c r="Q33" s="177">
        <v>18</v>
      </c>
      <c r="R33" s="29" t="s">
        <v>763</v>
      </c>
      <c r="S33" s="46">
        <f t="shared" si="9"/>
        <v>0</v>
      </c>
      <c r="U33" s="243" t="str">
        <f t="shared" si="10"/>
        <v>18</v>
      </c>
      <c r="V33" s="47">
        <f t="shared" si="11"/>
        <v>0</v>
      </c>
    </row>
    <row r="34" spans="10:22" s="27" customFormat="1" ht="18" customHeight="1">
      <c r="J34" s="170" t="s">
        <v>314</v>
      </c>
      <c r="K34" s="25" t="s">
        <v>1240</v>
      </c>
      <c r="L34" s="46">
        <f t="shared" si="8"/>
        <v>0</v>
      </c>
      <c r="M34" s="26"/>
      <c r="O34" s="26"/>
      <c r="P34" s="26"/>
      <c r="Q34" s="177">
        <v>20</v>
      </c>
      <c r="R34" s="29" t="s">
        <v>764</v>
      </c>
      <c r="S34" s="46">
        <f t="shared" si="9"/>
        <v>0</v>
      </c>
      <c r="U34" s="243" t="str">
        <f t="shared" si="10"/>
        <v>20</v>
      </c>
      <c r="V34" s="47">
        <f t="shared" si="11"/>
        <v>0</v>
      </c>
    </row>
    <row r="35" spans="10:22" s="27" customFormat="1" ht="18" customHeight="1">
      <c r="J35" s="170" t="s">
        <v>315</v>
      </c>
      <c r="K35" s="25" t="s">
        <v>212</v>
      </c>
      <c r="L35" s="46">
        <f t="shared" si="8"/>
        <v>0</v>
      </c>
      <c r="M35" s="26"/>
      <c r="O35" s="26"/>
      <c r="P35" s="26"/>
      <c r="Q35" s="177">
        <v>22</v>
      </c>
      <c r="R35" s="29" t="s">
        <v>765</v>
      </c>
      <c r="S35" s="46">
        <f t="shared" si="9"/>
        <v>0</v>
      </c>
      <c r="U35" s="243" t="str">
        <f t="shared" si="10"/>
        <v>22</v>
      </c>
      <c r="V35" s="47">
        <f t="shared" si="11"/>
        <v>0</v>
      </c>
    </row>
    <row r="36" spans="10:22" s="27" customFormat="1" ht="18" customHeight="1">
      <c r="J36" s="170" t="s">
        <v>316</v>
      </c>
      <c r="K36" s="25" t="s">
        <v>213</v>
      </c>
      <c r="L36" s="46">
        <f t="shared" si="8"/>
        <v>0</v>
      </c>
      <c r="M36" s="26"/>
      <c r="O36" s="26"/>
      <c r="P36" s="26"/>
      <c r="Q36" s="177">
        <v>24</v>
      </c>
      <c r="R36" s="29" t="s">
        <v>766</v>
      </c>
      <c r="S36" s="46">
        <f t="shared" si="9"/>
        <v>2</v>
      </c>
      <c r="U36" s="243" t="str">
        <f t="shared" si="10"/>
        <v>24</v>
      </c>
      <c r="V36" s="47">
        <f t="shared" si="11"/>
        <v>48</v>
      </c>
    </row>
    <row r="37" spans="10:22" s="27" customFormat="1" ht="18" customHeight="1">
      <c r="J37" s="170" t="s">
        <v>317</v>
      </c>
      <c r="K37" s="25" t="s">
        <v>214</v>
      </c>
      <c r="L37" s="46">
        <f t="shared" si="8"/>
        <v>0</v>
      </c>
      <c r="M37" s="26"/>
      <c r="O37" s="26"/>
      <c r="P37" s="26"/>
      <c r="Q37" s="177">
        <v>26</v>
      </c>
      <c r="R37" s="29" t="s">
        <v>767</v>
      </c>
      <c r="S37" s="46">
        <f t="shared" si="9"/>
        <v>0</v>
      </c>
      <c r="U37" s="243" t="str">
        <f t="shared" si="10"/>
        <v>26</v>
      </c>
      <c r="V37" s="47">
        <f t="shared" si="11"/>
        <v>0</v>
      </c>
    </row>
    <row r="38" spans="10:22" s="27" customFormat="1" ht="18" customHeight="1">
      <c r="J38" s="170" t="s">
        <v>318</v>
      </c>
      <c r="K38" s="25" t="s">
        <v>304</v>
      </c>
      <c r="L38" s="46">
        <f t="shared" si="8"/>
        <v>0</v>
      </c>
      <c r="M38" s="26"/>
      <c r="O38" s="26"/>
      <c r="P38" s="26"/>
      <c r="Q38" s="177">
        <v>28</v>
      </c>
      <c r="R38" s="29" t="s">
        <v>768</v>
      </c>
      <c r="S38" s="46">
        <f t="shared" si="9"/>
        <v>0</v>
      </c>
      <c r="U38" s="243" t="str">
        <f t="shared" si="10"/>
        <v>28</v>
      </c>
      <c r="V38" s="47">
        <f t="shared" si="11"/>
        <v>0</v>
      </c>
    </row>
    <row r="39" spans="10:22" s="27" customFormat="1" ht="18" customHeight="1">
      <c r="J39" s="170" t="s">
        <v>319</v>
      </c>
      <c r="K39" s="25" t="s">
        <v>305</v>
      </c>
      <c r="L39" s="46">
        <f t="shared" si="8"/>
        <v>0</v>
      </c>
      <c r="M39" s="26"/>
      <c r="O39" s="26"/>
      <c r="P39" s="26"/>
      <c r="Q39" s="177">
        <v>30</v>
      </c>
      <c r="R39" s="29" t="s">
        <v>769</v>
      </c>
      <c r="S39" s="46">
        <f t="shared" si="9"/>
        <v>0</v>
      </c>
      <c r="U39" s="243" t="str">
        <f t="shared" si="10"/>
        <v>30</v>
      </c>
      <c r="V39" s="47">
        <f t="shared" si="11"/>
        <v>0</v>
      </c>
    </row>
    <row r="40" spans="10:22" s="27" customFormat="1" ht="18" customHeight="1">
      <c r="J40" s="170" t="s">
        <v>320</v>
      </c>
      <c r="K40" s="25" t="s">
        <v>102</v>
      </c>
      <c r="L40" s="46">
        <f t="shared" si="8"/>
        <v>0</v>
      </c>
      <c r="M40" s="26"/>
      <c r="O40" s="26"/>
      <c r="P40" s="26"/>
      <c r="Q40" s="177">
        <v>32</v>
      </c>
      <c r="R40" s="29" t="s">
        <v>770</v>
      </c>
      <c r="S40" s="46">
        <f t="shared" si="9"/>
        <v>0</v>
      </c>
      <c r="U40" s="243" t="str">
        <f t="shared" si="10"/>
        <v>32</v>
      </c>
      <c r="V40" s="47">
        <f t="shared" si="11"/>
        <v>0</v>
      </c>
    </row>
    <row r="41" spans="10:22" s="27" customFormat="1" ht="18" customHeight="1">
      <c r="J41" s="170" t="s">
        <v>321</v>
      </c>
      <c r="K41" s="25" t="s">
        <v>1059</v>
      </c>
      <c r="L41" s="46">
        <f>SUMPRODUCT(($K$5:$K$20=K41)*($N$5:$N$20))</f>
        <v>0</v>
      </c>
      <c r="M41" s="26"/>
      <c r="O41" s="26"/>
      <c r="P41" s="26"/>
      <c r="Q41" s="177">
        <v>34</v>
      </c>
      <c r="R41" s="29" t="s">
        <v>771</v>
      </c>
      <c r="S41" s="46">
        <f t="shared" si="9"/>
        <v>0</v>
      </c>
      <c r="U41" s="243" t="str">
        <f t="shared" si="10"/>
        <v>34</v>
      </c>
      <c r="V41" s="47">
        <f t="shared" si="11"/>
        <v>0</v>
      </c>
    </row>
    <row r="42" spans="10:22" s="27" customFormat="1" ht="18" customHeight="1">
      <c r="J42" s="170" t="s">
        <v>322</v>
      </c>
      <c r="K42" s="25" t="s">
        <v>1122</v>
      </c>
      <c r="L42" s="46">
        <f t="shared" si="8"/>
        <v>0</v>
      </c>
      <c r="M42" s="26"/>
      <c r="O42" s="26"/>
      <c r="P42" s="26"/>
      <c r="Q42" s="177">
        <v>36</v>
      </c>
      <c r="R42" s="29" t="s">
        <v>772</v>
      </c>
      <c r="S42" s="46">
        <f t="shared" si="9"/>
        <v>0</v>
      </c>
      <c r="U42" s="243" t="str">
        <f t="shared" si="10"/>
        <v>36</v>
      </c>
      <c r="V42" s="47">
        <f t="shared" si="11"/>
        <v>0</v>
      </c>
    </row>
    <row r="43" spans="10:22" s="27" customFormat="1" ht="18" customHeight="1">
      <c r="J43" s="170" t="s">
        <v>323</v>
      </c>
      <c r="K43" s="25" t="s">
        <v>1123</v>
      </c>
      <c r="L43" s="46">
        <f t="shared" si="8"/>
        <v>0</v>
      </c>
      <c r="M43" s="26"/>
      <c r="O43" s="26"/>
      <c r="P43" s="26"/>
      <c r="Q43" s="177">
        <v>38</v>
      </c>
      <c r="R43" s="29" t="s">
        <v>773</v>
      </c>
      <c r="S43" s="46">
        <f t="shared" si="9"/>
        <v>0</v>
      </c>
      <c r="U43" s="243" t="str">
        <f t="shared" si="10"/>
        <v>38</v>
      </c>
      <c r="V43" s="47">
        <f t="shared" si="11"/>
        <v>0</v>
      </c>
    </row>
    <row r="44" spans="10:22" s="27" customFormat="1" ht="18" customHeight="1">
      <c r="J44" s="170" t="s">
        <v>324</v>
      </c>
      <c r="K44" s="25" t="s">
        <v>1124</v>
      </c>
      <c r="L44" s="46">
        <f t="shared" si="8"/>
        <v>0</v>
      </c>
      <c r="M44" s="26"/>
      <c r="O44" s="26"/>
      <c r="P44" s="26"/>
      <c r="Q44" s="177">
        <v>40</v>
      </c>
      <c r="R44" s="29" t="s">
        <v>774</v>
      </c>
      <c r="S44" s="46">
        <f t="shared" si="9"/>
        <v>0</v>
      </c>
      <c r="U44" s="243" t="str">
        <f t="shared" si="10"/>
        <v>40</v>
      </c>
      <c r="V44" s="47">
        <f t="shared" si="11"/>
        <v>0</v>
      </c>
    </row>
    <row r="45" spans="10:22" s="27" customFormat="1" ht="18" customHeight="1">
      <c r="J45" s="170" t="s">
        <v>325</v>
      </c>
      <c r="K45" s="25" t="s">
        <v>1125</v>
      </c>
      <c r="L45" s="46">
        <f t="shared" si="8"/>
        <v>0</v>
      </c>
      <c r="M45" s="26"/>
      <c r="O45" s="26"/>
      <c r="P45" s="26"/>
      <c r="Q45" s="177">
        <v>42</v>
      </c>
      <c r="R45" s="29" t="s">
        <v>775</v>
      </c>
      <c r="S45" s="46">
        <f t="shared" si="9"/>
        <v>0</v>
      </c>
      <c r="U45" s="243" t="str">
        <f t="shared" si="10"/>
        <v>42</v>
      </c>
      <c r="V45" s="47">
        <f t="shared" si="11"/>
        <v>0</v>
      </c>
    </row>
    <row r="46" spans="10:22" s="27" customFormat="1" ht="18" customHeight="1">
      <c r="J46" s="170" t="s">
        <v>326</v>
      </c>
      <c r="K46" s="25" t="s">
        <v>1126</v>
      </c>
      <c r="L46" s="46">
        <f t="shared" si="8"/>
        <v>0</v>
      </c>
      <c r="M46" s="26"/>
      <c r="O46" s="26"/>
      <c r="P46" s="26"/>
      <c r="Q46" s="177">
        <v>44</v>
      </c>
      <c r="R46" s="29" t="s">
        <v>776</v>
      </c>
      <c r="S46" s="46">
        <f t="shared" si="9"/>
        <v>0</v>
      </c>
      <c r="U46" s="243" t="str">
        <f t="shared" si="10"/>
        <v>44</v>
      </c>
      <c r="V46" s="47">
        <f t="shared" si="11"/>
        <v>0</v>
      </c>
    </row>
    <row r="47" spans="10:22" s="27" customFormat="1" ht="18" customHeight="1">
      <c r="J47" s="170" t="s">
        <v>327</v>
      </c>
      <c r="K47" s="25" t="s">
        <v>1127</v>
      </c>
      <c r="L47" s="46">
        <f t="shared" si="8"/>
        <v>0</v>
      </c>
      <c r="M47" s="26"/>
      <c r="O47" s="26"/>
      <c r="P47" s="26"/>
      <c r="Q47" s="177">
        <v>46</v>
      </c>
      <c r="R47" s="29" t="s">
        <v>777</v>
      </c>
      <c r="S47" s="46">
        <f t="shared" si="9"/>
        <v>0</v>
      </c>
      <c r="U47" s="243" t="str">
        <f t="shared" si="10"/>
        <v>46</v>
      </c>
      <c r="V47" s="47">
        <f t="shared" si="11"/>
        <v>0</v>
      </c>
    </row>
    <row r="48" spans="10:22" s="27" customFormat="1" ht="18" customHeight="1">
      <c r="J48" s="170" t="s">
        <v>328</v>
      </c>
      <c r="K48" s="25" t="s">
        <v>1128</v>
      </c>
      <c r="L48" s="46">
        <f t="shared" si="8"/>
        <v>14</v>
      </c>
      <c r="M48" s="26"/>
      <c r="O48" s="26"/>
      <c r="P48" s="26"/>
      <c r="Q48" s="177">
        <v>48</v>
      </c>
      <c r="R48" s="29" t="s">
        <v>778</v>
      </c>
      <c r="S48" s="46">
        <f t="shared" si="9"/>
        <v>0</v>
      </c>
      <c r="U48" s="243" t="str">
        <f t="shared" si="10"/>
        <v>48</v>
      </c>
      <c r="V48" s="47">
        <f t="shared" si="11"/>
        <v>0</v>
      </c>
    </row>
    <row r="49" spans="10:22" s="27" customFormat="1" ht="18" customHeight="1">
      <c r="J49" s="170" t="s">
        <v>329</v>
      </c>
      <c r="K49" s="25" t="s">
        <v>1129</v>
      </c>
      <c r="L49" s="46">
        <f t="shared" si="8"/>
        <v>0</v>
      </c>
      <c r="M49" s="26"/>
      <c r="O49" s="26"/>
      <c r="P49" s="26"/>
      <c r="Q49" s="322" t="s">
        <v>198</v>
      </c>
      <c r="R49" s="323"/>
      <c r="S49" s="226">
        <f>SUM(S28:S48)</f>
        <v>3</v>
      </c>
      <c r="U49" s="244" t="s">
        <v>1162</v>
      </c>
      <c r="V49" s="245">
        <f>SUM(V27:V48)</f>
        <v>56</v>
      </c>
    </row>
    <row r="50" spans="10:22" s="27" customFormat="1" ht="18" customHeight="1">
      <c r="J50" s="170" t="s">
        <v>330</v>
      </c>
      <c r="K50" s="25" t="s">
        <v>1130</v>
      </c>
      <c r="L50" s="46">
        <f t="shared" si="8"/>
        <v>0</v>
      </c>
      <c r="M50" s="26"/>
      <c r="O50" s="26"/>
      <c r="P50" s="26"/>
      <c r="Q50" s="176"/>
      <c r="S50" s="26"/>
    </row>
    <row r="51" spans="10:22" s="27" customFormat="1" ht="18" customHeight="1">
      <c r="J51" s="322" t="s">
        <v>195</v>
      </c>
      <c r="K51" s="323"/>
      <c r="L51" s="217">
        <f>SUM(L28:L50)</f>
        <v>20</v>
      </c>
      <c r="M51" s="26"/>
      <c r="O51" s="26"/>
      <c r="P51" s="26"/>
      <c r="Q51" s="176"/>
      <c r="S51" s="26"/>
    </row>
  </sheetData>
  <mergeCells count="20">
    <mergeCell ref="J51:K51"/>
    <mergeCell ref="Q49:R49"/>
    <mergeCell ref="J27:L27"/>
    <mergeCell ref="Q27:S27"/>
    <mergeCell ref="A8:A20"/>
    <mergeCell ref="B13:I13"/>
    <mergeCell ref="B20:I20"/>
    <mergeCell ref="A5:A7"/>
    <mergeCell ref="J3:J4"/>
    <mergeCell ref="F3:G3"/>
    <mergeCell ref="A3:A4"/>
    <mergeCell ref="B7:I7"/>
    <mergeCell ref="B3:B4"/>
    <mergeCell ref="K3:K4"/>
    <mergeCell ref="R3:R4"/>
    <mergeCell ref="D3:E3"/>
    <mergeCell ref="H3:I3"/>
    <mergeCell ref="W3:W4"/>
    <mergeCell ref="V3:V4"/>
    <mergeCell ref="Q3:Q4"/>
  </mergeCells>
  <phoneticPr fontId="3" type="noConversion"/>
  <dataValidations count="2">
    <dataValidation type="list" allowBlank="1" showInputMessage="1" showErrorMessage="1" sqref="R50:R65534 R31 R21:R26 R1:R14" xr:uid="{00000000-0002-0000-0200-000000000000}">
      <formula1>Sp3실외기</formula1>
    </dataValidation>
    <dataValidation type="list" allowBlank="1" showInputMessage="1" showErrorMessage="1" sqref="K1:K1048576" xr:uid="{00000000-0002-0000-0200-000001000000}">
      <formula1>M실내기</formula1>
    </dataValidation>
  </dataValidations>
  <printOptions horizontalCentered="1"/>
  <pageMargins left="0" right="0" top="0.39370078740157483" bottom="0.39370078740157483" header="0" footer="0"/>
  <pageSetup paperSize="9" scale="70" orientation="landscape" r:id="rId1"/>
  <headerFooter alignWithMargins="0">
    <oddHeader>&amp;C&amp;"Calibri"&amp;12&amp;K000000 LGE Internal Use Only&amp;1#_x000D_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0000"/>
  </sheetPr>
  <dimension ref="A1:W48"/>
  <sheetViews>
    <sheetView showGridLines="0" zoomScaleNormal="100" zoomScaleSheetLayoutView="90" workbookViewId="0">
      <selection activeCell="M15" sqref="M15"/>
    </sheetView>
  </sheetViews>
  <sheetFormatPr defaultRowHeight="18" customHeight="1"/>
  <cols>
    <col min="1" max="1" width="7" style="23" customWidth="1"/>
    <col min="2" max="2" width="15.109375" style="23" customWidth="1"/>
    <col min="3" max="7" width="7" style="22" customWidth="1"/>
    <col min="8" max="9" width="8.109375" style="22" customWidth="1"/>
    <col min="10" max="10" width="5" style="171" customWidth="1"/>
    <col min="11" max="11" width="14.33203125" style="23" bestFit="1" customWidth="1"/>
    <col min="12" max="13" width="10.109375" style="21" customWidth="1"/>
    <col min="14" max="14" width="4.44140625" style="20" customWidth="1"/>
    <col min="15" max="16" width="10.109375" style="21" customWidth="1"/>
    <col min="17" max="17" width="5" style="178" customWidth="1"/>
    <col min="18" max="18" width="12.21875" style="20" customWidth="1"/>
    <col min="19" max="20" width="10.109375" style="21" customWidth="1"/>
    <col min="21" max="21" width="4.44140625" style="21" customWidth="1"/>
    <col min="22" max="22" width="7.109375" style="20" customWidth="1"/>
    <col min="23" max="23" width="6.6640625" style="20" customWidth="1"/>
    <col min="24" max="16384" width="8.88671875" style="20"/>
  </cols>
  <sheetData>
    <row r="1" spans="1:23" s="27" customFormat="1" ht="22.5" customHeight="1">
      <c r="A1" s="1" t="s">
        <v>822</v>
      </c>
      <c r="B1" s="30"/>
      <c r="C1" s="78"/>
      <c r="D1" s="78"/>
      <c r="E1" s="78"/>
      <c r="F1" s="78"/>
      <c r="G1" s="78"/>
      <c r="H1" s="78"/>
      <c r="I1" s="78"/>
      <c r="J1" s="181"/>
      <c r="K1" s="30"/>
      <c r="L1" s="79"/>
      <c r="M1" s="79"/>
      <c r="O1" s="79"/>
      <c r="P1" s="79"/>
      <c r="Q1" s="176"/>
      <c r="S1" s="26"/>
      <c r="T1" s="26"/>
      <c r="U1" s="26"/>
    </row>
    <row r="2" spans="1:23" s="5" customFormat="1" ht="11.25" customHeight="1">
      <c r="A2" s="2"/>
      <c r="B2" s="2"/>
      <c r="C2" s="8"/>
      <c r="D2" s="8"/>
      <c r="E2" s="8"/>
      <c r="F2" s="8"/>
      <c r="G2" s="8"/>
      <c r="H2" s="8"/>
      <c r="I2" s="8"/>
      <c r="J2" s="166"/>
      <c r="K2" s="2"/>
      <c r="L2" s="6"/>
      <c r="M2" s="6"/>
      <c r="O2" s="6"/>
      <c r="P2" s="6"/>
      <c r="Q2" s="172"/>
      <c r="S2" s="6"/>
      <c r="T2" s="6"/>
      <c r="U2" s="6"/>
      <c r="V2" s="9"/>
      <c r="W2" s="9" t="s">
        <v>3</v>
      </c>
    </row>
    <row r="3" spans="1:23" s="5" customFormat="1" ht="18" customHeight="1">
      <c r="A3" s="320" t="s">
        <v>12</v>
      </c>
      <c r="B3" s="320" t="s">
        <v>51</v>
      </c>
      <c r="C3" s="218" t="s">
        <v>2</v>
      </c>
      <c r="D3" s="315" t="s">
        <v>4</v>
      </c>
      <c r="E3" s="315"/>
      <c r="F3" s="315" t="s">
        <v>54</v>
      </c>
      <c r="G3" s="315"/>
      <c r="H3" s="316" t="s">
        <v>98</v>
      </c>
      <c r="I3" s="316"/>
      <c r="J3" s="318" t="s">
        <v>307</v>
      </c>
      <c r="K3" s="306" t="s">
        <v>13</v>
      </c>
      <c r="L3" s="219" t="s">
        <v>56</v>
      </c>
      <c r="M3" s="219" t="s">
        <v>57</v>
      </c>
      <c r="N3" s="220" t="s">
        <v>58</v>
      </c>
      <c r="O3" s="219" t="s">
        <v>59</v>
      </c>
      <c r="P3" s="219" t="s">
        <v>60</v>
      </c>
      <c r="Q3" s="318" t="s">
        <v>307</v>
      </c>
      <c r="R3" s="306" t="s">
        <v>61</v>
      </c>
      <c r="S3" s="219" t="s">
        <v>62</v>
      </c>
      <c r="T3" s="219" t="s">
        <v>63</v>
      </c>
      <c r="U3" s="219" t="s">
        <v>58</v>
      </c>
      <c r="V3" s="317" t="s">
        <v>64</v>
      </c>
      <c r="W3" s="317" t="s">
        <v>65</v>
      </c>
    </row>
    <row r="4" spans="1:23" s="5" customFormat="1" ht="18" customHeight="1">
      <c r="A4" s="320"/>
      <c r="B4" s="320"/>
      <c r="C4" s="218" t="s">
        <v>66</v>
      </c>
      <c r="D4" s="218" t="s">
        <v>67</v>
      </c>
      <c r="E4" s="218" t="s">
        <v>68</v>
      </c>
      <c r="F4" s="218" t="s">
        <v>67</v>
      </c>
      <c r="G4" s="218" t="s">
        <v>68</v>
      </c>
      <c r="H4" s="221" t="s">
        <v>20</v>
      </c>
      <c r="I4" s="221" t="s">
        <v>100</v>
      </c>
      <c r="J4" s="319"/>
      <c r="K4" s="306"/>
      <c r="L4" s="219" t="s">
        <v>69</v>
      </c>
      <c r="M4" s="219" t="s">
        <v>69</v>
      </c>
      <c r="N4" s="220" t="s">
        <v>70</v>
      </c>
      <c r="O4" s="219" t="s">
        <v>69</v>
      </c>
      <c r="P4" s="219" t="s">
        <v>69</v>
      </c>
      <c r="Q4" s="319"/>
      <c r="R4" s="306"/>
      <c r="S4" s="219" t="s">
        <v>69</v>
      </c>
      <c r="T4" s="219" t="s">
        <v>69</v>
      </c>
      <c r="U4" s="219" t="s">
        <v>70</v>
      </c>
      <c r="V4" s="317"/>
      <c r="W4" s="317"/>
    </row>
    <row r="5" spans="1:23" s="5" customFormat="1" ht="18" customHeight="1">
      <c r="A5" s="300" t="s">
        <v>132</v>
      </c>
      <c r="B5" s="39" t="s">
        <v>823</v>
      </c>
      <c r="C5" s="14">
        <v>97.5</v>
      </c>
      <c r="D5" s="155">
        <v>230</v>
      </c>
      <c r="E5" s="11">
        <f>D5</f>
        <v>230</v>
      </c>
      <c r="F5" s="12">
        <f t="shared" ref="F5:G7" si="0">D5/0.86</f>
        <v>267.44186046511629</v>
      </c>
      <c r="G5" s="12">
        <f t="shared" si="0"/>
        <v>267.44186046511629</v>
      </c>
      <c r="H5" s="13">
        <f>C5*F5</f>
        <v>26075.58139534884</v>
      </c>
      <c r="I5" s="13">
        <f>C5*G5</f>
        <v>26075.58139534884</v>
      </c>
      <c r="J5" s="167" t="str">
        <f>INDEX($J$19:$J$24,MATCH(K5,$K$19:$K$24,0))</f>
        <v>123D</v>
      </c>
      <c r="K5" s="25" t="s">
        <v>1232</v>
      </c>
      <c r="L5" s="156">
        <f>IF(ISERROR(VLOOKUP(K5,LG제품!$A$3:$C$271,2,0)),,VLOOKUP(K5,LG제품!$A$3:$C$271,2,0))</f>
        <v>7500</v>
      </c>
      <c r="M5" s="156">
        <f>IF(ISERROR(VLOOKUP(K5,LG제품!$A$3:$C$271,3,0)),,VLOOKUP(K5,LG제품!$A$3:$C$271,3,0))</f>
        <v>7000</v>
      </c>
      <c r="N5" s="39">
        <v>1</v>
      </c>
      <c r="O5" s="156">
        <f>L5*N5</f>
        <v>7500</v>
      </c>
      <c r="P5" s="156">
        <f>M5*N5</f>
        <v>7000</v>
      </c>
      <c r="Q5" s="167">
        <f>INDEX($Q$19:$Q$47,MATCH(R5,$R$19:$R$47,0))</f>
        <v>8</v>
      </c>
      <c r="R5" s="108" t="s">
        <v>179</v>
      </c>
      <c r="S5" s="13">
        <f>IF(ISERROR(VLOOKUP(R5,LG제품!$I$82:$K$109,2,0)),,VLOOKUP(R5,LG제품!$I$82:$K$109,2,0))</f>
        <v>23300</v>
      </c>
      <c r="T5" s="13">
        <f>IF(ISERROR(VLOOKUP(R5,LG제품!$I$82:$K$109,3,0)),,VLOOKUP(R5,LG제품!$I$82:$K$109,3,0))</f>
        <v>25900</v>
      </c>
      <c r="U5" s="72">
        <v>1</v>
      </c>
      <c r="V5" s="75">
        <f>O6/S5</f>
        <v>0.32188841201716739</v>
      </c>
      <c r="W5" s="61"/>
    </row>
    <row r="6" spans="1:23" s="5" customFormat="1" ht="18" customHeight="1">
      <c r="A6" s="301"/>
      <c r="B6" s="321" t="s">
        <v>119</v>
      </c>
      <c r="C6" s="321"/>
      <c r="D6" s="321"/>
      <c r="E6" s="321"/>
      <c r="F6" s="321"/>
      <c r="G6" s="321"/>
      <c r="H6" s="321"/>
      <c r="I6" s="321"/>
      <c r="J6" s="222"/>
      <c r="K6" s="223"/>
      <c r="L6" s="224"/>
      <c r="M6" s="224"/>
      <c r="N6" s="210">
        <f>SUM(N5)</f>
        <v>1</v>
      </c>
      <c r="O6" s="224">
        <f>SUM(O5)</f>
        <v>7500</v>
      </c>
      <c r="P6" s="224">
        <f>SUM(P5)</f>
        <v>7000</v>
      </c>
      <c r="Q6" s="232"/>
      <c r="R6" s="109"/>
      <c r="S6" s="64"/>
      <c r="T6" s="64"/>
      <c r="U6" s="73"/>
      <c r="V6" s="76"/>
      <c r="W6" s="62"/>
    </row>
    <row r="7" spans="1:23" s="5" customFormat="1" ht="18" customHeight="1">
      <c r="A7" s="301"/>
      <c r="B7" s="39" t="s">
        <v>823</v>
      </c>
      <c r="C7" s="14">
        <v>30.6</v>
      </c>
      <c r="D7" s="15">
        <v>230</v>
      </c>
      <c r="E7" s="11">
        <f>D7</f>
        <v>230</v>
      </c>
      <c r="F7" s="12">
        <f t="shared" si="0"/>
        <v>267.44186046511629</v>
      </c>
      <c r="G7" s="12">
        <f t="shared" si="0"/>
        <v>267.44186046511629</v>
      </c>
      <c r="H7" s="13">
        <f>C7*F7</f>
        <v>8183.7209302325591</v>
      </c>
      <c r="I7" s="13">
        <f>C7*G7</f>
        <v>8183.7209302325591</v>
      </c>
      <c r="J7" s="167" t="str">
        <f>INDEX($J$19:$J$24,MATCH(K7,$K$19:$K$24,0))</f>
        <v>123D</v>
      </c>
      <c r="K7" s="25" t="s">
        <v>1233</v>
      </c>
      <c r="L7" s="156">
        <f>IF(ISERROR(VLOOKUP(K7,LG제품!$A$3:$C$271,2,0)),,VLOOKUP(K7,LG제품!$A$3:$C$271,2,0))</f>
        <v>12300</v>
      </c>
      <c r="M7" s="156">
        <f>IF(ISERROR(VLOOKUP(K7,LG제품!$A$3:$C$271,3,0)),,VLOOKUP(K7,LG제품!$A$3:$C$271,3,0))</f>
        <v>8800</v>
      </c>
      <c r="N7" s="39">
        <v>2</v>
      </c>
      <c r="O7" s="156">
        <f>L7*N7</f>
        <v>24600</v>
      </c>
      <c r="P7" s="156">
        <f>M7*N7</f>
        <v>17600</v>
      </c>
      <c r="Q7" s="167" t="str">
        <f>INDEX($Q$19:$Q$47,MATCH(R7,$R$19:$R$47,0))</f>
        <v>S5</v>
      </c>
      <c r="R7" s="108" t="s">
        <v>834</v>
      </c>
      <c r="S7" s="13">
        <f>IF(ISERROR(VLOOKUP(R7,LG제품!$I$82:$K$109,2,0)),,VLOOKUP(R7,LG제품!$I$82:$K$109,2,0))</f>
        <v>14500</v>
      </c>
      <c r="T7" s="13">
        <f>IF(ISERROR(VLOOKUP(R7,LG제품!$I$82:$K$109,3,0)),,VLOOKUP(R7,LG제품!$I$82:$K$109,3,0))</f>
        <v>16300</v>
      </c>
      <c r="U7" s="72">
        <v>1</v>
      </c>
      <c r="V7" s="75">
        <f>O8/S7</f>
        <v>1.6965517241379311</v>
      </c>
      <c r="W7" s="61"/>
    </row>
    <row r="8" spans="1:23" s="5" customFormat="1" ht="18" customHeight="1">
      <c r="A8" s="301"/>
      <c r="B8" s="321" t="s">
        <v>119</v>
      </c>
      <c r="C8" s="321"/>
      <c r="D8" s="321"/>
      <c r="E8" s="321"/>
      <c r="F8" s="321"/>
      <c r="G8" s="321"/>
      <c r="H8" s="321"/>
      <c r="I8" s="321"/>
      <c r="J8" s="222"/>
      <c r="K8" s="223"/>
      <c r="L8" s="224"/>
      <c r="M8" s="224"/>
      <c r="N8" s="210">
        <f>SUM(N7)</f>
        <v>2</v>
      </c>
      <c r="O8" s="224">
        <f>SUM(O7)</f>
        <v>24600</v>
      </c>
      <c r="P8" s="224">
        <f>SUM(P7)</f>
        <v>17600</v>
      </c>
      <c r="Q8" s="233"/>
      <c r="R8" s="110"/>
      <c r="S8" s="65"/>
      <c r="T8" s="65"/>
      <c r="U8" s="74"/>
      <c r="V8" s="77"/>
      <c r="W8" s="63"/>
    </row>
    <row r="9" spans="1:23" s="16" customFormat="1" ht="18" customHeight="1">
      <c r="A9" s="301"/>
      <c r="B9" s="39" t="s">
        <v>823</v>
      </c>
      <c r="C9" s="14">
        <v>150</v>
      </c>
      <c r="D9" s="15">
        <v>230</v>
      </c>
      <c r="E9" s="11">
        <f>D9</f>
        <v>230</v>
      </c>
      <c r="F9" s="12">
        <f t="shared" ref="F9:G10" si="1">D9/0.86</f>
        <v>267.44186046511629</v>
      </c>
      <c r="G9" s="12">
        <f t="shared" si="1"/>
        <v>267.44186046511629</v>
      </c>
      <c r="H9" s="13">
        <f>C9*F9</f>
        <v>40116.279069767443</v>
      </c>
      <c r="I9" s="13">
        <f>C9*G9</f>
        <v>40116.279069767443</v>
      </c>
      <c r="J9" s="167" t="str">
        <f>INDEX($J$19:$J$24,MATCH(K9,$K$19:$K$24,0))</f>
        <v>203D</v>
      </c>
      <c r="K9" s="25" t="s">
        <v>925</v>
      </c>
      <c r="L9" s="156">
        <f>IF(ISERROR(VLOOKUP(K9,LG제품!$A$3:$C$271,2,0)),,VLOOKUP(K9,LG제품!$A$3:$C$271,2,0))</f>
        <v>30000</v>
      </c>
      <c r="M9" s="156">
        <f>IF(ISERROR(VLOOKUP(K9,LG제품!$A$3:$C$271,3,0)),,VLOOKUP(K9,LG제품!$A$3:$C$271,3,0))</f>
        <v>28000</v>
      </c>
      <c r="N9" s="39">
        <v>1</v>
      </c>
      <c r="O9" s="157">
        <f>L9*N9</f>
        <v>30000</v>
      </c>
      <c r="P9" s="157">
        <f>M9*N9</f>
        <v>28000</v>
      </c>
      <c r="Q9" s="167">
        <f>INDEX($Q$19:$Q$47,MATCH(R9,$R$19:$R$47,0))</f>
        <v>46</v>
      </c>
      <c r="R9" s="108" t="s">
        <v>825</v>
      </c>
      <c r="S9" s="13">
        <f>IF(ISERROR(VLOOKUP(R9,LG제품!$I$82:$K$109,2,0)),,VLOOKUP(R9,LG제품!$I$82:$K$109,2,0))</f>
        <v>131500</v>
      </c>
      <c r="T9" s="13">
        <f>IF(ISERROR(VLOOKUP(R9,LG제품!$I$82:$K$109,3,0)),,VLOOKUP(R9,LG제품!$I$82:$K$109,3,0))</f>
        <v>146000</v>
      </c>
      <c r="U9" s="72">
        <v>1</v>
      </c>
      <c r="V9" s="75">
        <f>O11/S9</f>
        <v>0.86539923954372622</v>
      </c>
      <c r="W9" s="61"/>
    </row>
    <row r="10" spans="1:23" s="16" customFormat="1" ht="18" customHeight="1">
      <c r="A10" s="301"/>
      <c r="B10" s="39" t="s">
        <v>823</v>
      </c>
      <c r="C10" s="14">
        <v>300</v>
      </c>
      <c r="D10" s="15">
        <v>230</v>
      </c>
      <c r="E10" s="11">
        <f>D10</f>
        <v>230</v>
      </c>
      <c r="F10" s="12">
        <f t="shared" si="1"/>
        <v>267.44186046511629</v>
      </c>
      <c r="G10" s="12">
        <f t="shared" si="1"/>
        <v>267.44186046511629</v>
      </c>
      <c r="H10" s="13">
        <f>C10*F10</f>
        <v>80232.558139534885</v>
      </c>
      <c r="I10" s="13">
        <f>C10*G10</f>
        <v>80232.558139534885</v>
      </c>
      <c r="J10" s="167" t="str">
        <f>INDEX($J$19:$J$24,MATCH(K10,$K$19:$K$24,0))</f>
        <v>203D</v>
      </c>
      <c r="K10" s="25" t="s">
        <v>929</v>
      </c>
      <c r="L10" s="156">
        <f>IF(ISERROR(VLOOKUP(K10,LG제품!$A$3:$C$271,2,0)),,VLOOKUP(K10,LG제품!$A$3:$C$271,2,0))</f>
        <v>41900</v>
      </c>
      <c r="M10" s="156">
        <f>IF(ISERROR(VLOOKUP(K10,LG제품!$A$3:$C$271,3,0)),,VLOOKUP(K10,LG제품!$A$3:$C$271,3,0))</f>
        <v>29300</v>
      </c>
      <c r="N10" s="39">
        <v>2</v>
      </c>
      <c r="O10" s="157">
        <f>L10*N10</f>
        <v>83800</v>
      </c>
      <c r="P10" s="157">
        <f>M10*N10</f>
        <v>58600</v>
      </c>
      <c r="Q10" s="232"/>
      <c r="R10" s="109"/>
      <c r="S10" s="64"/>
      <c r="T10" s="64"/>
      <c r="U10" s="73"/>
      <c r="V10" s="76"/>
      <c r="W10" s="62"/>
    </row>
    <row r="11" spans="1:23" s="5" customFormat="1" ht="18" customHeight="1">
      <c r="A11" s="302"/>
      <c r="B11" s="321" t="s">
        <v>119</v>
      </c>
      <c r="C11" s="321"/>
      <c r="D11" s="321"/>
      <c r="E11" s="321"/>
      <c r="F11" s="321"/>
      <c r="G11" s="321"/>
      <c r="H11" s="321"/>
      <c r="I11" s="321"/>
      <c r="J11" s="222"/>
      <c r="K11" s="223"/>
      <c r="L11" s="224"/>
      <c r="M11" s="224"/>
      <c r="N11" s="210">
        <f>SUM(N9:N10)</f>
        <v>3</v>
      </c>
      <c r="O11" s="224">
        <f>SUM(O9:O10)</f>
        <v>113800</v>
      </c>
      <c r="P11" s="224">
        <f>SUM(P9:P10)</f>
        <v>86600</v>
      </c>
      <c r="Q11" s="233"/>
      <c r="R11" s="110"/>
      <c r="S11" s="65"/>
      <c r="T11" s="65"/>
      <c r="U11" s="74"/>
      <c r="V11" s="77"/>
      <c r="W11" s="63"/>
    </row>
    <row r="12" spans="1:23" s="5" customFormat="1" ht="18" customHeight="1">
      <c r="A12" s="2"/>
      <c r="B12" s="2"/>
      <c r="C12" s="8"/>
      <c r="D12" s="8"/>
      <c r="E12" s="8"/>
      <c r="F12" s="8"/>
      <c r="G12" s="8"/>
      <c r="H12" s="8"/>
      <c r="I12" s="8"/>
      <c r="J12" s="166"/>
      <c r="K12" s="2"/>
      <c r="L12" s="6"/>
      <c r="M12" s="6"/>
      <c r="N12" s="30">
        <f>SUM(N11,N8)</f>
        <v>5</v>
      </c>
      <c r="O12" s="6"/>
      <c r="P12" s="6"/>
      <c r="Q12" s="172"/>
      <c r="S12" s="6"/>
      <c r="T12" s="6"/>
      <c r="U12" s="31">
        <f>SUM(U5:U11)</f>
        <v>3</v>
      </c>
    </row>
    <row r="13" spans="1:23" s="17" customFormat="1" ht="14.1" customHeight="1">
      <c r="A13" s="16" t="s">
        <v>96</v>
      </c>
      <c r="C13" s="18"/>
      <c r="D13" s="18"/>
      <c r="E13" s="18"/>
      <c r="F13" s="18"/>
      <c r="G13" s="18"/>
      <c r="H13" s="18"/>
      <c r="I13" s="18"/>
      <c r="J13" s="182"/>
      <c r="L13" s="19"/>
      <c r="M13" s="19"/>
      <c r="N13" s="2"/>
      <c r="O13" s="19"/>
      <c r="P13" s="19"/>
      <c r="Q13" s="172"/>
      <c r="S13" s="19"/>
      <c r="T13" s="19"/>
      <c r="U13" s="19"/>
    </row>
    <row r="14" spans="1:23" s="17" customFormat="1" ht="14.1" customHeight="1">
      <c r="A14" s="16" t="s">
        <v>97</v>
      </c>
      <c r="C14" s="18"/>
      <c r="D14" s="18"/>
      <c r="E14" s="18"/>
      <c r="F14" s="18"/>
      <c r="G14" s="18"/>
      <c r="H14" s="18"/>
      <c r="I14" s="18"/>
      <c r="J14" s="182"/>
      <c r="L14" s="19"/>
      <c r="M14" s="19"/>
      <c r="N14" s="2"/>
      <c r="O14" s="19"/>
      <c r="P14" s="19"/>
      <c r="Q14" s="172"/>
      <c r="S14" s="19"/>
      <c r="T14" s="19"/>
      <c r="U14" s="19"/>
    </row>
    <row r="15" spans="1:23" s="17" customFormat="1" ht="14.1" customHeight="1">
      <c r="A15" s="16" t="s">
        <v>10</v>
      </c>
      <c r="C15" s="18"/>
      <c r="D15" s="18"/>
      <c r="E15" s="18"/>
      <c r="F15" s="18"/>
      <c r="G15" s="18"/>
      <c r="H15" s="18"/>
      <c r="I15" s="18"/>
      <c r="J15" s="182"/>
      <c r="L15" s="19"/>
      <c r="M15" s="19"/>
      <c r="N15" s="2"/>
      <c r="O15" s="19"/>
      <c r="P15" s="19"/>
      <c r="Q15" s="172"/>
      <c r="S15" s="19"/>
      <c r="T15" s="19"/>
      <c r="U15" s="19"/>
    </row>
    <row r="16" spans="1:23" s="17" customFormat="1" ht="14.1" customHeight="1">
      <c r="A16" s="16" t="s">
        <v>11</v>
      </c>
      <c r="C16" s="18"/>
      <c r="D16" s="18"/>
      <c r="E16" s="18"/>
      <c r="F16" s="18"/>
      <c r="G16" s="18"/>
      <c r="H16" s="18"/>
      <c r="I16" s="18"/>
      <c r="J16" s="182"/>
      <c r="L16" s="19"/>
      <c r="M16" s="19"/>
      <c r="N16" s="2"/>
      <c r="O16" s="19"/>
      <c r="P16" s="19"/>
      <c r="Q16" s="172"/>
      <c r="S16" s="19"/>
      <c r="T16" s="19"/>
      <c r="U16" s="19"/>
    </row>
    <row r="18" spans="10:22" s="5" customFormat="1" ht="18" customHeight="1">
      <c r="J18" s="310" t="s">
        <v>824</v>
      </c>
      <c r="K18" s="311"/>
      <c r="L18" s="312"/>
      <c r="M18" s="6"/>
      <c r="O18" s="6"/>
      <c r="P18" s="6"/>
      <c r="Q18" s="310" t="s">
        <v>816</v>
      </c>
      <c r="R18" s="311"/>
      <c r="S18" s="312"/>
      <c r="U18" s="243" t="s">
        <v>1160</v>
      </c>
      <c r="V18" s="47" t="s">
        <v>1161</v>
      </c>
    </row>
    <row r="19" spans="10:22" s="5" customFormat="1" ht="18" customHeight="1">
      <c r="J19" s="170" t="s">
        <v>1133</v>
      </c>
      <c r="K19" s="25" t="s">
        <v>1232</v>
      </c>
      <c r="L19" s="46">
        <f>SUMPRODUCT(($K$5:$K$11=K19)*($N$5:$N$11))</f>
        <v>1</v>
      </c>
      <c r="M19" s="26"/>
      <c r="N19" s="27"/>
      <c r="O19" s="26"/>
      <c r="P19" s="26"/>
      <c r="Q19" s="177">
        <v>14</v>
      </c>
      <c r="R19" s="28" t="s">
        <v>818</v>
      </c>
      <c r="S19" s="46">
        <f>SUMPRODUCT(($R$5:$R$11=R19)*($U$5:$U$11))</f>
        <v>0</v>
      </c>
      <c r="U19" s="243" t="str">
        <f>MID(R19,5,2)</f>
        <v>14</v>
      </c>
      <c r="V19" s="47">
        <f>U19*S19</f>
        <v>0</v>
      </c>
    </row>
    <row r="20" spans="10:22" s="5" customFormat="1" ht="18" customHeight="1">
      <c r="J20" s="170" t="s">
        <v>1135</v>
      </c>
      <c r="K20" s="25" t="s">
        <v>923</v>
      </c>
      <c r="L20" s="46">
        <f t="shared" ref="L20:L22" si="2">SUMPRODUCT(($K$5:$K$11=K20)*($N$5:$N$11))</f>
        <v>0</v>
      </c>
      <c r="M20" s="26"/>
      <c r="N20" s="27"/>
      <c r="O20" s="26"/>
      <c r="P20" s="26"/>
      <c r="Q20" s="177">
        <v>28</v>
      </c>
      <c r="R20" s="28" t="s">
        <v>832</v>
      </c>
      <c r="S20" s="46">
        <f t="shared" ref="S20:S21" si="3">SUMPRODUCT(($R$5:$R$11=R20)*($U$5:$U$11))</f>
        <v>0</v>
      </c>
      <c r="U20" s="243" t="str">
        <f>MID(R20,5,2)</f>
        <v>28</v>
      </c>
      <c r="V20" s="47">
        <f>U20*S20</f>
        <v>0</v>
      </c>
    </row>
    <row r="21" spans="10:22" s="5" customFormat="1" ht="18" customHeight="1">
      <c r="J21" s="170" t="s">
        <v>1134</v>
      </c>
      <c r="K21" s="25" t="s">
        <v>925</v>
      </c>
      <c r="L21" s="46">
        <f t="shared" si="2"/>
        <v>1</v>
      </c>
      <c r="M21" s="26"/>
      <c r="N21" s="27"/>
      <c r="O21" s="26"/>
      <c r="P21" s="26"/>
      <c r="Q21" s="177">
        <v>42</v>
      </c>
      <c r="R21" s="28" t="s">
        <v>833</v>
      </c>
      <c r="S21" s="46">
        <f t="shared" si="3"/>
        <v>0</v>
      </c>
      <c r="U21" s="243" t="str">
        <f>MID(R21,5,2)</f>
        <v>42</v>
      </c>
      <c r="V21" s="47">
        <f>U21*S21</f>
        <v>0</v>
      </c>
    </row>
    <row r="22" spans="10:22" s="5" customFormat="1" ht="18" customHeight="1">
      <c r="J22" s="170" t="s">
        <v>1133</v>
      </c>
      <c r="K22" s="25" t="s">
        <v>1233</v>
      </c>
      <c r="L22" s="46">
        <f t="shared" si="2"/>
        <v>2</v>
      </c>
      <c r="M22" s="26"/>
      <c r="N22" s="27"/>
      <c r="O22" s="26"/>
      <c r="P22" s="26"/>
      <c r="Q22" s="322" t="s">
        <v>195</v>
      </c>
      <c r="R22" s="323"/>
      <c r="S22" s="217">
        <f>SUM(S19:S21)</f>
        <v>0</v>
      </c>
      <c r="U22" s="243"/>
      <c r="V22" s="47"/>
    </row>
    <row r="23" spans="10:22" s="5" customFormat="1" ht="18" customHeight="1">
      <c r="J23" s="170" t="s">
        <v>1135</v>
      </c>
      <c r="K23" s="25" t="s">
        <v>926</v>
      </c>
      <c r="L23" s="46">
        <f>SUMPRODUCT(($K$5:$K$11=K23)*($N$5:$N$11))</f>
        <v>0</v>
      </c>
      <c r="M23" s="26"/>
      <c r="N23" s="27"/>
      <c r="O23" s="26"/>
      <c r="P23" s="26"/>
      <c r="Q23" s="310" t="s">
        <v>820</v>
      </c>
      <c r="R23" s="311"/>
      <c r="S23" s="312"/>
      <c r="U23" s="243"/>
      <c r="V23" s="47"/>
    </row>
    <row r="24" spans="10:22" s="5" customFormat="1" ht="18" customHeight="1">
      <c r="J24" s="170" t="s">
        <v>1134</v>
      </c>
      <c r="K24" s="25" t="s">
        <v>929</v>
      </c>
      <c r="L24" s="46">
        <f>SUMPRODUCT(($K$5:$K$11=K24)*($N$5:$N$11))</f>
        <v>2</v>
      </c>
      <c r="M24" s="26"/>
      <c r="N24" s="27"/>
      <c r="O24" s="26"/>
      <c r="P24" s="26"/>
      <c r="Q24" s="177" t="s">
        <v>836</v>
      </c>
      <c r="R24" s="29" t="s">
        <v>834</v>
      </c>
      <c r="S24" s="46">
        <f>SUMPRODUCT(($R$5:$R$11=R24)*($U$5:$U$11))</f>
        <v>1</v>
      </c>
      <c r="U24" s="243" t="str">
        <f>MID(R24,5,2)</f>
        <v>05</v>
      </c>
      <c r="V24" s="47">
        <f>U24*S24</f>
        <v>5</v>
      </c>
    </row>
    <row r="25" spans="10:22" s="5" customFormat="1" ht="18" customHeight="1">
      <c r="J25" s="322" t="s">
        <v>195</v>
      </c>
      <c r="K25" s="323"/>
      <c r="L25" s="217">
        <f>SUM(L19:L24)</f>
        <v>6</v>
      </c>
      <c r="M25" s="26"/>
      <c r="N25" s="27"/>
      <c r="O25" s="26"/>
      <c r="P25" s="26"/>
      <c r="Q25" s="322" t="s">
        <v>195</v>
      </c>
      <c r="R25" s="323"/>
      <c r="S25" s="217">
        <f>SUM(S24)</f>
        <v>1</v>
      </c>
      <c r="U25" s="243"/>
      <c r="V25" s="47"/>
    </row>
    <row r="26" spans="10:22" s="5" customFormat="1" ht="18" customHeight="1">
      <c r="J26" s="168"/>
      <c r="K26" s="30"/>
      <c r="L26" s="26"/>
      <c r="M26" s="26"/>
      <c r="N26" s="27"/>
      <c r="O26" s="26"/>
      <c r="P26" s="26"/>
      <c r="Q26" s="310" t="s">
        <v>826</v>
      </c>
      <c r="R26" s="311"/>
      <c r="S26" s="312"/>
      <c r="U26" s="243"/>
      <c r="V26" s="47"/>
    </row>
    <row r="27" spans="10:22" s="5" customFormat="1" ht="18" customHeight="1">
      <c r="J27" s="168"/>
      <c r="K27" s="30"/>
      <c r="L27" s="26"/>
      <c r="M27" s="26"/>
      <c r="N27" s="27"/>
      <c r="O27" s="26"/>
      <c r="P27" s="26"/>
      <c r="Q27" s="177">
        <v>8</v>
      </c>
      <c r="R27" s="28" t="s">
        <v>179</v>
      </c>
      <c r="S27" s="46">
        <f t="shared" ref="S27:S47" si="4">SUMPRODUCT(($R$5:$R$11=R27)*($U$5:$U$11))</f>
        <v>1</v>
      </c>
      <c r="U27" s="243" t="str">
        <f t="shared" ref="U27:U45" si="5">MID(R27,5,2)</f>
        <v>08</v>
      </c>
      <c r="V27" s="47">
        <f t="shared" ref="V27:V45" si="6">U27*S27</f>
        <v>8</v>
      </c>
    </row>
    <row r="28" spans="10:22" s="5" customFormat="1" ht="18" customHeight="1">
      <c r="J28" s="168"/>
      <c r="K28" s="30"/>
      <c r="L28" s="26"/>
      <c r="M28" s="26"/>
      <c r="N28" s="27"/>
      <c r="O28" s="26"/>
      <c r="P28" s="26"/>
      <c r="Q28" s="177">
        <v>10</v>
      </c>
      <c r="R28" s="29" t="s">
        <v>180</v>
      </c>
      <c r="S28" s="46">
        <f t="shared" si="4"/>
        <v>0</v>
      </c>
      <c r="U28" s="243" t="str">
        <f t="shared" si="5"/>
        <v>10</v>
      </c>
      <c r="V28" s="47">
        <f t="shared" si="6"/>
        <v>0</v>
      </c>
    </row>
    <row r="29" spans="10:22" s="5" customFormat="1" ht="18" customHeight="1">
      <c r="J29" s="168"/>
      <c r="K29" s="30"/>
      <c r="L29" s="26"/>
      <c r="M29" s="26"/>
      <c r="N29" s="27"/>
      <c r="O29" s="26"/>
      <c r="P29" s="26"/>
      <c r="Q29" s="177">
        <v>12</v>
      </c>
      <c r="R29" s="29" t="s">
        <v>181</v>
      </c>
      <c r="S29" s="46">
        <f t="shared" si="4"/>
        <v>0</v>
      </c>
      <c r="U29" s="243" t="str">
        <f t="shared" si="5"/>
        <v>12</v>
      </c>
      <c r="V29" s="47">
        <f t="shared" si="6"/>
        <v>0</v>
      </c>
    </row>
    <row r="30" spans="10:22" s="5" customFormat="1" ht="18" customHeight="1">
      <c r="J30" s="168"/>
      <c r="K30" s="30"/>
      <c r="L30" s="26"/>
      <c r="M30" s="26"/>
      <c r="N30" s="27"/>
      <c r="O30" s="26"/>
      <c r="P30" s="26"/>
      <c r="Q30" s="177">
        <v>14</v>
      </c>
      <c r="R30" s="29" t="s">
        <v>182</v>
      </c>
      <c r="S30" s="46">
        <f t="shared" si="4"/>
        <v>0</v>
      </c>
      <c r="U30" s="243" t="str">
        <f t="shared" si="5"/>
        <v>14</v>
      </c>
      <c r="V30" s="47">
        <f t="shared" si="6"/>
        <v>0</v>
      </c>
    </row>
    <row r="31" spans="10:22" s="5" customFormat="1" ht="18" customHeight="1">
      <c r="J31" s="168"/>
      <c r="K31" s="30"/>
      <c r="L31" s="26"/>
      <c r="M31" s="26"/>
      <c r="N31" s="27"/>
      <c r="O31" s="26"/>
      <c r="P31" s="26"/>
      <c r="Q31" s="177">
        <v>16</v>
      </c>
      <c r="R31" s="29" t="s">
        <v>183</v>
      </c>
      <c r="S31" s="46">
        <f t="shared" si="4"/>
        <v>0</v>
      </c>
      <c r="U31" s="243" t="str">
        <f t="shared" si="5"/>
        <v>16</v>
      </c>
      <c r="V31" s="47">
        <f t="shared" si="6"/>
        <v>0</v>
      </c>
    </row>
    <row r="32" spans="10:22" s="5" customFormat="1" ht="18" customHeight="1">
      <c r="J32" s="168"/>
      <c r="K32" s="30"/>
      <c r="L32" s="26"/>
      <c r="M32" s="26"/>
      <c r="N32" s="27"/>
      <c r="O32" s="26"/>
      <c r="P32" s="26"/>
      <c r="Q32" s="177">
        <v>18</v>
      </c>
      <c r="R32" s="29" t="s">
        <v>184</v>
      </c>
      <c r="S32" s="46">
        <f t="shared" si="4"/>
        <v>0</v>
      </c>
      <c r="U32" s="243" t="str">
        <f t="shared" si="5"/>
        <v>18</v>
      </c>
      <c r="V32" s="47">
        <f t="shared" si="6"/>
        <v>0</v>
      </c>
    </row>
    <row r="33" spans="17:22" s="5" customFormat="1" ht="18" customHeight="1">
      <c r="Q33" s="177">
        <v>20</v>
      </c>
      <c r="R33" s="29" t="s">
        <v>185</v>
      </c>
      <c r="S33" s="46">
        <f t="shared" si="4"/>
        <v>0</v>
      </c>
      <c r="U33" s="243" t="str">
        <f t="shared" si="5"/>
        <v>20</v>
      </c>
      <c r="V33" s="47">
        <f t="shared" si="6"/>
        <v>0</v>
      </c>
    </row>
    <row r="34" spans="17:22" s="5" customFormat="1" ht="18" customHeight="1">
      <c r="Q34" s="177">
        <v>22</v>
      </c>
      <c r="R34" s="29" t="s">
        <v>827</v>
      </c>
      <c r="S34" s="46">
        <f t="shared" si="4"/>
        <v>0</v>
      </c>
      <c r="U34" s="243" t="str">
        <f t="shared" si="5"/>
        <v>22</v>
      </c>
      <c r="V34" s="47">
        <f t="shared" si="6"/>
        <v>0</v>
      </c>
    </row>
    <row r="35" spans="17:22" s="5" customFormat="1" ht="18" customHeight="1">
      <c r="Q35" s="177">
        <v>24</v>
      </c>
      <c r="R35" s="29" t="s">
        <v>828</v>
      </c>
      <c r="S35" s="46">
        <f t="shared" si="4"/>
        <v>0</v>
      </c>
      <c r="U35" s="243" t="str">
        <f t="shared" si="5"/>
        <v>24</v>
      </c>
      <c r="V35" s="47">
        <f t="shared" si="6"/>
        <v>0</v>
      </c>
    </row>
    <row r="36" spans="17:22" s="5" customFormat="1" ht="18" customHeight="1">
      <c r="Q36" s="177">
        <v>26</v>
      </c>
      <c r="R36" s="29" t="s">
        <v>186</v>
      </c>
      <c r="S36" s="46">
        <f t="shared" si="4"/>
        <v>0</v>
      </c>
      <c r="U36" s="243" t="str">
        <f t="shared" si="5"/>
        <v>26</v>
      </c>
      <c r="V36" s="47">
        <f t="shared" si="6"/>
        <v>0</v>
      </c>
    </row>
    <row r="37" spans="17:22" s="5" customFormat="1" ht="18" customHeight="1">
      <c r="Q37" s="177">
        <v>28</v>
      </c>
      <c r="R37" s="29" t="s">
        <v>187</v>
      </c>
      <c r="S37" s="46">
        <f t="shared" si="4"/>
        <v>0</v>
      </c>
      <c r="U37" s="243" t="str">
        <f t="shared" si="5"/>
        <v>28</v>
      </c>
      <c r="V37" s="47">
        <f t="shared" si="6"/>
        <v>0</v>
      </c>
    </row>
    <row r="38" spans="17:22" s="5" customFormat="1" ht="18" customHeight="1">
      <c r="Q38" s="177">
        <v>30</v>
      </c>
      <c r="R38" s="29" t="s">
        <v>188</v>
      </c>
      <c r="S38" s="46">
        <f t="shared" si="4"/>
        <v>0</v>
      </c>
      <c r="U38" s="243" t="str">
        <f t="shared" si="5"/>
        <v>30</v>
      </c>
      <c r="V38" s="47">
        <f t="shared" si="6"/>
        <v>0</v>
      </c>
    </row>
    <row r="39" spans="17:22" s="5" customFormat="1" ht="18" customHeight="1">
      <c r="Q39" s="177">
        <v>32</v>
      </c>
      <c r="R39" s="29" t="s">
        <v>189</v>
      </c>
      <c r="S39" s="46">
        <f t="shared" si="4"/>
        <v>0</v>
      </c>
      <c r="U39" s="243" t="str">
        <f t="shared" si="5"/>
        <v>32</v>
      </c>
      <c r="V39" s="47">
        <f t="shared" si="6"/>
        <v>0</v>
      </c>
    </row>
    <row r="40" spans="17:22" s="5" customFormat="1" ht="18" customHeight="1">
      <c r="Q40" s="177">
        <v>34</v>
      </c>
      <c r="R40" s="29" t="s">
        <v>190</v>
      </c>
      <c r="S40" s="46">
        <f t="shared" si="4"/>
        <v>0</v>
      </c>
      <c r="U40" s="243" t="str">
        <f t="shared" si="5"/>
        <v>34</v>
      </c>
      <c r="V40" s="47">
        <f t="shared" si="6"/>
        <v>0</v>
      </c>
    </row>
    <row r="41" spans="17:22" s="5" customFormat="1" ht="18" customHeight="1">
      <c r="Q41" s="177">
        <v>36</v>
      </c>
      <c r="R41" s="29" t="s">
        <v>191</v>
      </c>
      <c r="S41" s="46">
        <f t="shared" si="4"/>
        <v>0</v>
      </c>
      <c r="U41" s="243" t="str">
        <f t="shared" si="5"/>
        <v>36</v>
      </c>
      <c r="V41" s="47">
        <f t="shared" si="6"/>
        <v>0</v>
      </c>
    </row>
    <row r="42" spans="17:22" s="5" customFormat="1" ht="18" customHeight="1">
      <c r="Q42" s="177">
        <v>38</v>
      </c>
      <c r="R42" s="29" t="s">
        <v>192</v>
      </c>
      <c r="S42" s="46">
        <f t="shared" si="4"/>
        <v>0</v>
      </c>
      <c r="U42" s="243" t="str">
        <f t="shared" si="5"/>
        <v>38</v>
      </c>
      <c r="V42" s="47">
        <f t="shared" si="6"/>
        <v>0</v>
      </c>
    </row>
    <row r="43" spans="17:22" s="5" customFormat="1" ht="18" customHeight="1">
      <c r="Q43" s="177">
        <v>40</v>
      </c>
      <c r="R43" s="29" t="s">
        <v>193</v>
      </c>
      <c r="S43" s="46">
        <f t="shared" si="4"/>
        <v>0</v>
      </c>
      <c r="U43" s="243" t="str">
        <f t="shared" si="5"/>
        <v>40</v>
      </c>
      <c r="V43" s="47">
        <f t="shared" si="6"/>
        <v>0</v>
      </c>
    </row>
    <row r="44" spans="17:22" s="5" customFormat="1" ht="18" customHeight="1">
      <c r="Q44" s="177">
        <v>42</v>
      </c>
      <c r="R44" s="29" t="s">
        <v>829</v>
      </c>
      <c r="S44" s="46">
        <f t="shared" si="4"/>
        <v>0</v>
      </c>
      <c r="U44" s="243" t="str">
        <f t="shared" si="5"/>
        <v>42</v>
      </c>
      <c r="V44" s="47">
        <f t="shared" si="6"/>
        <v>0</v>
      </c>
    </row>
    <row r="45" spans="17:22" s="5" customFormat="1" ht="18" customHeight="1">
      <c r="Q45" s="177">
        <v>44</v>
      </c>
      <c r="R45" s="29" t="s">
        <v>830</v>
      </c>
      <c r="S45" s="46">
        <f t="shared" si="4"/>
        <v>0</v>
      </c>
      <c r="U45" s="243" t="str">
        <f t="shared" si="5"/>
        <v>44</v>
      </c>
      <c r="V45" s="47">
        <f t="shared" si="6"/>
        <v>0</v>
      </c>
    </row>
    <row r="46" spans="17:22" s="5" customFormat="1" ht="18" customHeight="1">
      <c r="Q46" s="177">
        <v>46</v>
      </c>
      <c r="R46" s="29" t="s">
        <v>825</v>
      </c>
      <c r="S46" s="46">
        <f t="shared" si="4"/>
        <v>1</v>
      </c>
      <c r="U46" s="243" t="str">
        <f>MID(R39,5,2)</f>
        <v>32</v>
      </c>
      <c r="V46" s="47">
        <f>U46*S39</f>
        <v>0</v>
      </c>
    </row>
    <row r="47" spans="17:22" s="5" customFormat="1" ht="18" customHeight="1">
      <c r="Q47" s="177">
        <v>48</v>
      </c>
      <c r="R47" s="29" t="s">
        <v>831</v>
      </c>
      <c r="S47" s="46">
        <f t="shared" si="4"/>
        <v>0</v>
      </c>
      <c r="U47" s="243" t="str">
        <f>MID(R40,5,2)</f>
        <v>34</v>
      </c>
      <c r="V47" s="47">
        <f>U47*S40</f>
        <v>0</v>
      </c>
    </row>
    <row r="48" spans="17:22" s="5" customFormat="1" ht="18" customHeight="1">
      <c r="Q48" s="322" t="s">
        <v>195</v>
      </c>
      <c r="R48" s="323"/>
      <c r="S48" s="217">
        <f>SUM(S19:S47)</f>
        <v>4</v>
      </c>
      <c r="U48" s="244" t="s">
        <v>1162</v>
      </c>
      <c r="V48" s="245">
        <f>SUM(V18:V47)</f>
        <v>13</v>
      </c>
    </row>
  </sheetData>
  <mergeCells count="23">
    <mergeCell ref="A5:A11"/>
    <mergeCell ref="B8:I8"/>
    <mergeCell ref="B11:I11"/>
    <mergeCell ref="J18:L18"/>
    <mergeCell ref="Q18:S18"/>
    <mergeCell ref="Q48:R48"/>
    <mergeCell ref="B6:I6"/>
    <mergeCell ref="K3:K4"/>
    <mergeCell ref="Q3:Q4"/>
    <mergeCell ref="R3:R4"/>
    <mergeCell ref="J25:K25"/>
    <mergeCell ref="Q22:R22"/>
    <mergeCell ref="Q23:S23"/>
    <mergeCell ref="Q25:R25"/>
    <mergeCell ref="Q26:S26"/>
    <mergeCell ref="V3:V4"/>
    <mergeCell ref="W3:W4"/>
    <mergeCell ref="A3:A4"/>
    <mergeCell ref="B3:B4"/>
    <mergeCell ref="D3:E3"/>
    <mergeCell ref="F3:G3"/>
    <mergeCell ref="H3:I3"/>
    <mergeCell ref="J3:J4"/>
  </mergeCells>
  <phoneticPr fontId="3" type="noConversion"/>
  <dataValidations count="2">
    <dataValidation type="list" allowBlank="1" showInputMessage="1" showErrorMessage="1" sqref="R1:R1048576" xr:uid="{00000000-0002-0000-0300-000000000000}">
      <formula1>도아스실외기동시형</formula1>
    </dataValidation>
    <dataValidation type="list" allowBlank="1" showInputMessage="1" showErrorMessage="1" sqref="K1:K1048576" xr:uid="{00000000-0002-0000-0300-000001000000}">
      <formula1>도아스</formula1>
    </dataValidation>
  </dataValidations>
  <printOptions horizontalCentered="1"/>
  <pageMargins left="0" right="0" top="0.39370078740157483" bottom="0.39370078740157483" header="0" footer="0"/>
  <pageSetup paperSize="9" scale="70" orientation="landscape" r:id="rId1"/>
  <headerFooter alignWithMargins="0">
    <oddHeader>&amp;C&amp;"Calibri"&amp;12&amp;K000000 LGE Internal Use Only&amp;1#_x000D_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tabColor theme="7" tint="-0.499984740745262"/>
  </sheetPr>
  <dimension ref="A1:AA51"/>
  <sheetViews>
    <sheetView showGridLines="0" topLeftCell="A44" zoomScaleNormal="100" zoomScaleSheetLayoutView="90" workbookViewId="0">
      <selection activeCell="Q15" sqref="Q15"/>
    </sheetView>
  </sheetViews>
  <sheetFormatPr defaultRowHeight="18" customHeight="1"/>
  <cols>
    <col min="1" max="1" width="7" style="23" customWidth="1"/>
    <col min="2" max="2" width="15.109375" style="23" customWidth="1"/>
    <col min="3" max="7" width="7" style="22" customWidth="1"/>
    <col min="8" max="9" width="8.109375" style="22" customWidth="1"/>
    <col min="10" max="10" width="5" style="171" customWidth="1"/>
    <col min="11" max="11" width="12.21875" style="23" customWidth="1"/>
    <col min="12" max="13" width="10.109375" style="21" customWidth="1"/>
    <col min="14" max="14" width="4.44140625" style="20" customWidth="1"/>
    <col min="15" max="16" width="10.109375" style="21" customWidth="1"/>
    <col min="17" max="17" width="5" style="178" customWidth="1"/>
    <col min="18" max="18" width="12.21875" style="20" customWidth="1"/>
    <col min="19" max="20" width="10.109375" style="21" customWidth="1"/>
    <col min="21" max="21" width="4.44140625" style="21" customWidth="1"/>
    <col min="22" max="22" width="7.109375" style="20" customWidth="1"/>
    <col min="23" max="23" width="6.6640625" style="20" customWidth="1"/>
    <col min="24" max="16384" width="8.88671875" style="20"/>
  </cols>
  <sheetData>
    <row r="1" spans="1:27" s="5" customFormat="1" ht="22.5" customHeight="1">
      <c r="A1" s="1" t="s">
        <v>26</v>
      </c>
      <c r="B1" s="2"/>
      <c r="C1" s="3"/>
      <c r="D1" s="3"/>
      <c r="E1" s="3"/>
      <c r="F1" s="3"/>
      <c r="G1" s="3"/>
      <c r="H1" s="3"/>
      <c r="I1" s="3"/>
      <c r="J1" s="165"/>
      <c r="K1" s="2"/>
      <c r="L1" s="4"/>
      <c r="M1" s="4"/>
      <c r="O1" s="4"/>
      <c r="P1" s="4"/>
      <c r="Q1" s="172"/>
      <c r="S1" s="6"/>
      <c r="T1" s="6"/>
      <c r="U1" s="6"/>
      <c r="X1" s="7"/>
      <c r="Y1" s="7"/>
      <c r="Z1" s="7"/>
      <c r="AA1" s="7"/>
    </row>
    <row r="2" spans="1:27" s="5" customFormat="1" ht="11.25" customHeight="1">
      <c r="A2" s="2"/>
      <c r="B2" s="2"/>
      <c r="C2" s="8"/>
      <c r="D2" s="8"/>
      <c r="E2" s="8"/>
      <c r="F2" s="8"/>
      <c r="G2" s="8"/>
      <c r="H2" s="8"/>
      <c r="I2" s="8"/>
      <c r="J2" s="166"/>
      <c r="K2" s="2"/>
      <c r="L2" s="6"/>
      <c r="M2" s="6"/>
      <c r="O2" s="6"/>
      <c r="P2" s="6"/>
      <c r="Q2" s="172"/>
      <c r="S2" s="6"/>
      <c r="T2" s="6"/>
      <c r="U2" s="6"/>
      <c r="V2" s="9"/>
      <c r="W2" s="9" t="s">
        <v>3</v>
      </c>
      <c r="X2" s="7"/>
      <c r="Y2" s="7"/>
      <c r="Z2" s="7"/>
      <c r="AA2" s="7"/>
    </row>
    <row r="3" spans="1:27" s="5" customFormat="1" ht="18" customHeight="1">
      <c r="A3" s="320" t="s">
        <v>50</v>
      </c>
      <c r="B3" s="320" t="s">
        <v>51</v>
      </c>
      <c r="C3" s="218" t="s">
        <v>52</v>
      </c>
      <c r="D3" s="315" t="s">
        <v>53</v>
      </c>
      <c r="E3" s="315"/>
      <c r="F3" s="315" t="s">
        <v>54</v>
      </c>
      <c r="G3" s="315"/>
      <c r="H3" s="316" t="s">
        <v>98</v>
      </c>
      <c r="I3" s="316"/>
      <c r="J3" s="318" t="s">
        <v>307</v>
      </c>
      <c r="K3" s="306" t="s">
        <v>55</v>
      </c>
      <c r="L3" s="219" t="s">
        <v>56</v>
      </c>
      <c r="M3" s="219" t="s">
        <v>57</v>
      </c>
      <c r="N3" s="220" t="s">
        <v>58</v>
      </c>
      <c r="O3" s="219" t="s">
        <v>59</v>
      </c>
      <c r="P3" s="219" t="s">
        <v>60</v>
      </c>
      <c r="Q3" s="318" t="s">
        <v>331</v>
      </c>
      <c r="R3" s="306" t="s">
        <v>61</v>
      </c>
      <c r="S3" s="219" t="s">
        <v>62</v>
      </c>
      <c r="T3" s="219" t="s">
        <v>63</v>
      </c>
      <c r="U3" s="219" t="s">
        <v>58</v>
      </c>
      <c r="V3" s="317" t="s">
        <v>64</v>
      </c>
      <c r="W3" s="317" t="s">
        <v>65</v>
      </c>
    </row>
    <row r="4" spans="1:27" s="5" customFormat="1" ht="18" customHeight="1">
      <c r="A4" s="320"/>
      <c r="B4" s="320"/>
      <c r="C4" s="218" t="s">
        <v>66</v>
      </c>
      <c r="D4" s="218" t="s">
        <v>67</v>
      </c>
      <c r="E4" s="218" t="s">
        <v>68</v>
      </c>
      <c r="F4" s="218" t="s">
        <v>67</v>
      </c>
      <c r="G4" s="218" t="s">
        <v>68</v>
      </c>
      <c r="H4" s="221" t="s">
        <v>99</v>
      </c>
      <c r="I4" s="221" t="s">
        <v>100</v>
      </c>
      <c r="J4" s="319"/>
      <c r="K4" s="306"/>
      <c r="L4" s="219" t="s">
        <v>69</v>
      </c>
      <c r="M4" s="219" t="s">
        <v>69</v>
      </c>
      <c r="N4" s="220" t="s">
        <v>70</v>
      </c>
      <c r="O4" s="219" t="s">
        <v>69</v>
      </c>
      <c r="P4" s="219" t="s">
        <v>69</v>
      </c>
      <c r="Q4" s="319"/>
      <c r="R4" s="306"/>
      <c r="S4" s="219" t="s">
        <v>69</v>
      </c>
      <c r="T4" s="219" t="s">
        <v>69</v>
      </c>
      <c r="U4" s="219" t="s">
        <v>70</v>
      </c>
      <c r="V4" s="317"/>
      <c r="W4" s="317"/>
    </row>
    <row r="5" spans="1:27" s="27" customFormat="1" ht="18" customHeight="1">
      <c r="A5" s="300" t="s">
        <v>159</v>
      </c>
      <c r="B5" s="105" t="s">
        <v>160</v>
      </c>
      <c r="C5" s="10">
        <v>20</v>
      </c>
      <c r="D5" s="11">
        <v>140</v>
      </c>
      <c r="E5" s="11">
        <f>D5</f>
        <v>140</v>
      </c>
      <c r="F5" s="12">
        <f>D5/0.86</f>
        <v>162.7906976744186</v>
      </c>
      <c r="G5" s="12">
        <f>E5/0.86</f>
        <v>162.7906976744186</v>
      </c>
      <c r="H5" s="13">
        <f>C5*F5</f>
        <v>3255.8139534883721</v>
      </c>
      <c r="I5" s="13">
        <f>C5*G5</f>
        <v>3255.8139534883721</v>
      </c>
      <c r="J5" s="167" t="str">
        <f>INDEX($J$28:$J$50,MATCH(K5,$K$28:$K$50,0))</f>
        <v>110T</v>
      </c>
      <c r="K5" s="25" t="s">
        <v>1128</v>
      </c>
      <c r="L5" s="156">
        <f>IF(ISERROR(VLOOKUP(K5,LG제품!$A$3:$C$271,2,0)),,VLOOKUP(K5,LG제품!$A$3:$C$271,2,0))</f>
        <v>11000</v>
      </c>
      <c r="M5" s="156">
        <f>IF(ISERROR(VLOOKUP(K5,LG제품!$A$3:$C$271,3,0)),,VLOOKUP(K5,LG제품!$A$3:$C$271,3,0))</f>
        <v>12400</v>
      </c>
      <c r="N5" s="39">
        <v>3</v>
      </c>
      <c r="O5" s="156">
        <f>L5*N5</f>
        <v>33000</v>
      </c>
      <c r="P5" s="156">
        <f>M5*N5</f>
        <v>37200</v>
      </c>
      <c r="Q5" s="173">
        <f>INDEX($Q$28:$Q$43,MATCH(R5,$R$28:$R$43,0))</f>
        <v>24</v>
      </c>
      <c r="R5" s="108" t="s">
        <v>863</v>
      </c>
      <c r="S5" s="13">
        <f>IF(ISERROR(VLOOKUP(R5,LG제품!$E$3:$G$244,2,0)),,VLOOKUP(R5,LG제품!$E$3:$G$244,2,0))</f>
        <v>68300</v>
      </c>
      <c r="T5" s="13">
        <f>IF(ISERROR(VLOOKUP(R5,LG제품!$E$3:$G$244,3,0)),,VLOOKUP(R5,LG제품!$E$3:$G$244,3,0))</f>
        <v>75900</v>
      </c>
      <c r="U5" s="72">
        <v>1</v>
      </c>
      <c r="V5" s="75">
        <f>O7/S5</f>
        <v>0.96632503660322111</v>
      </c>
      <c r="W5" s="75"/>
    </row>
    <row r="6" spans="1:27" s="27" customFormat="1" ht="18" customHeight="1">
      <c r="A6" s="301"/>
      <c r="B6" s="39" t="s">
        <v>161</v>
      </c>
      <c r="C6" s="14">
        <v>5.4</v>
      </c>
      <c r="D6" s="15">
        <v>150</v>
      </c>
      <c r="E6" s="11">
        <f>D6</f>
        <v>150</v>
      </c>
      <c r="F6" s="12">
        <f>D6/0.86</f>
        <v>174.41860465116278</v>
      </c>
      <c r="G6" s="12">
        <f>E6/0.86</f>
        <v>174.41860465116278</v>
      </c>
      <c r="H6" s="13">
        <f>C6*F6</f>
        <v>941.8604651162791</v>
      </c>
      <c r="I6" s="13">
        <f>C6*G6</f>
        <v>941.8604651162791</v>
      </c>
      <c r="J6" s="167" t="str">
        <f>INDEX($J$28:$J$50,MATCH(K6,$K$28:$K$50,0))</f>
        <v>110T</v>
      </c>
      <c r="K6" s="25" t="s">
        <v>1128</v>
      </c>
      <c r="L6" s="156">
        <f>IF(ISERROR(VLOOKUP(K6,LG제품!$A$3:$C$271,2,0)),,VLOOKUP(K6,LG제품!$A$3:$C$271,2,0))</f>
        <v>11000</v>
      </c>
      <c r="M6" s="156">
        <f>IF(ISERROR(VLOOKUP(K6,LG제품!$A$3:$C$271,3,0)),,VLOOKUP(K6,LG제품!$A$3:$C$271,3,0))</f>
        <v>12400</v>
      </c>
      <c r="N6" s="39">
        <v>3</v>
      </c>
      <c r="O6" s="156">
        <f>L6*N6</f>
        <v>33000</v>
      </c>
      <c r="P6" s="156">
        <f>M6*N6</f>
        <v>37200</v>
      </c>
      <c r="Q6" s="174"/>
      <c r="R6" s="109"/>
      <c r="S6" s="64"/>
      <c r="T6" s="64"/>
      <c r="U6" s="73"/>
      <c r="V6" s="76"/>
      <c r="W6" s="76"/>
    </row>
    <row r="7" spans="1:27" s="27" customFormat="1" ht="18" customHeight="1">
      <c r="A7" s="301"/>
      <c r="B7" s="321" t="s">
        <v>162</v>
      </c>
      <c r="C7" s="321"/>
      <c r="D7" s="321"/>
      <c r="E7" s="321"/>
      <c r="F7" s="321"/>
      <c r="G7" s="321"/>
      <c r="H7" s="321"/>
      <c r="I7" s="321"/>
      <c r="J7" s="222"/>
      <c r="K7" s="223"/>
      <c r="L7" s="224"/>
      <c r="M7" s="224"/>
      <c r="N7" s="210">
        <f>SUM(N5:N6)</f>
        <v>6</v>
      </c>
      <c r="O7" s="224">
        <f>SUM(O5:O6)</f>
        <v>66000</v>
      </c>
      <c r="P7" s="224">
        <f>SUM(P5:P6)</f>
        <v>74400</v>
      </c>
      <c r="Q7" s="175"/>
      <c r="R7" s="110"/>
      <c r="S7" s="65"/>
      <c r="T7" s="65"/>
      <c r="U7" s="74"/>
      <c r="V7" s="77"/>
      <c r="W7" s="77"/>
    </row>
    <row r="8" spans="1:27" s="27" customFormat="1" ht="18" customHeight="1">
      <c r="A8" s="300" t="s">
        <v>163</v>
      </c>
      <c r="B8" s="39" t="s">
        <v>164</v>
      </c>
      <c r="C8" s="14">
        <v>97.5</v>
      </c>
      <c r="D8" s="155">
        <v>180</v>
      </c>
      <c r="E8" s="11">
        <f>D8</f>
        <v>180</v>
      </c>
      <c r="F8" s="12">
        <f t="shared" ref="F8:G12" si="0">D8/0.86</f>
        <v>209.30232558139537</v>
      </c>
      <c r="G8" s="12">
        <f t="shared" si="0"/>
        <v>209.30232558139537</v>
      </c>
      <c r="H8" s="13">
        <f>C8*F8</f>
        <v>20406.976744186049</v>
      </c>
      <c r="I8" s="13">
        <f>C8*G8</f>
        <v>20406.976744186049</v>
      </c>
      <c r="J8" s="167" t="str">
        <f>INDEX($J$28:$J$50,MATCH(K8,$K$28:$K$50,0))</f>
        <v>110T</v>
      </c>
      <c r="K8" s="25" t="s">
        <v>1128</v>
      </c>
      <c r="L8" s="156">
        <f>IF(ISERROR(VLOOKUP(K8,LG제품!$A$3:$C$271,2,0)),,VLOOKUP(K8,LG제품!$A$3:$C$271,2,0))</f>
        <v>11000</v>
      </c>
      <c r="M8" s="156">
        <f>IF(ISERROR(VLOOKUP(K8,LG제품!$A$3:$C$271,3,0)),,VLOOKUP(K8,LG제품!$A$3:$C$271,3,0))</f>
        <v>12400</v>
      </c>
      <c r="N8" s="39">
        <v>2</v>
      </c>
      <c r="O8" s="156">
        <f>L8*N8</f>
        <v>22000</v>
      </c>
      <c r="P8" s="156">
        <f>M8*N8</f>
        <v>24800</v>
      </c>
      <c r="Q8" s="173">
        <f>INDEX($Q$28:$Q$43,MATCH(R8,$R$28:$R$43,0))</f>
        <v>46</v>
      </c>
      <c r="R8" s="108" t="s">
        <v>881</v>
      </c>
      <c r="S8" s="13">
        <f>IF(ISERROR(VLOOKUP(R8,LG제품!$E$3:$G$244,2,0)),,VLOOKUP(R8,LG제품!$E$3:$G$244,2,0))</f>
        <v>134200</v>
      </c>
      <c r="T8" s="13">
        <f>IF(ISERROR(VLOOKUP(R8,LG제품!$E$3:$G$244,3,0)),,VLOOKUP(R8,LG제품!$E$3:$G$244,3,0))</f>
        <v>148700</v>
      </c>
      <c r="U8" s="72">
        <v>1</v>
      </c>
      <c r="V8" s="75">
        <f>O13/S8</f>
        <v>0.57377049180327866</v>
      </c>
      <c r="W8" s="75"/>
    </row>
    <row r="9" spans="1:27" s="27" customFormat="1" ht="18" customHeight="1">
      <c r="A9" s="301"/>
      <c r="B9" s="39" t="s">
        <v>165</v>
      </c>
      <c r="C9" s="14">
        <v>30.6</v>
      </c>
      <c r="D9" s="15">
        <v>150</v>
      </c>
      <c r="E9" s="11">
        <f>D9</f>
        <v>150</v>
      </c>
      <c r="F9" s="12">
        <f t="shared" si="0"/>
        <v>174.41860465116278</v>
      </c>
      <c r="G9" s="12">
        <f t="shared" si="0"/>
        <v>174.41860465116278</v>
      </c>
      <c r="H9" s="13">
        <f>C9*F9</f>
        <v>5337.2093023255811</v>
      </c>
      <c r="I9" s="13">
        <f>C9*G9</f>
        <v>5337.2093023255811</v>
      </c>
      <c r="J9" s="167" t="str">
        <f>INDEX($J$28:$J$50,MATCH(K9,$K$28:$K$50,0))</f>
        <v>110T</v>
      </c>
      <c r="K9" s="25" t="s">
        <v>1128</v>
      </c>
      <c r="L9" s="156">
        <f>IF(ISERROR(VLOOKUP(K9,LG제품!$A$3:$C$271,2,0)),,VLOOKUP(K9,LG제품!$A$3:$C$271,2,0))</f>
        <v>11000</v>
      </c>
      <c r="M9" s="156">
        <f>IF(ISERROR(VLOOKUP(K9,LG제품!$A$3:$C$271,3,0)),,VLOOKUP(K9,LG제품!$A$3:$C$271,3,0))</f>
        <v>12400</v>
      </c>
      <c r="N9" s="39">
        <v>1</v>
      </c>
      <c r="O9" s="156">
        <f>L9*N9</f>
        <v>11000</v>
      </c>
      <c r="P9" s="156">
        <f>M9*N9</f>
        <v>12400</v>
      </c>
      <c r="Q9" s="174"/>
      <c r="R9" s="109"/>
      <c r="S9" s="64"/>
      <c r="T9" s="64"/>
      <c r="U9" s="73"/>
      <c r="V9" s="76"/>
      <c r="W9" s="76"/>
    </row>
    <row r="10" spans="1:27" s="27" customFormat="1" ht="18" customHeight="1">
      <c r="A10" s="301"/>
      <c r="B10" s="39" t="s">
        <v>165</v>
      </c>
      <c r="C10" s="14">
        <v>27</v>
      </c>
      <c r="D10" s="15">
        <v>150</v>
      </c>
      <c r="E10" s="11">
        <f>D10</f>
        <v>150</v>
      </c>
      <c r="F10" s="12">
        <f t="shared" si="0"/>
        <v>174.41860465116278</v>
      </c>
      <c r="G10" s="12">
        <f t="shared" si="0"/>
        <v>174.41860465116278</v>
      </c>
      <c r="H10" s="13">
        <f>C10*F10</f>
        <v>4709.3023255813951</v>
      </c>
      <c r="I10" s="13">
        <f>C10*G10</f>
        <v>4709.3023255813951</v>
      </c>
      <c r="J10" s="167" t="str">
        <f>INDEX($J$28:$J$50,MATCH(K10,$K$28:$K$50,0))</f>
        <v>110T</v>
      </c>
      <c r="K10" s="25" t="s">
        <v>1128</v>
      </c>
      <c r="L10" s="156">
        <f>IF(ISERROR(VLOOKUP(K10,LG제품!$A$3:$C$271,2,0)),,VLOOKUP(K10,LG제품!$A$3:$C$271,2,0))</f>
        <v>11000</v>
      </c>
      <c r="M10" s="156">
        <f>IF(ISERROR(VLOOKUP(K10,LG제품!$A$3:$C$271,3,0)),,VLOOKUP(K10,LG제품!$A$3:$C$271,3,0))</f>
        <v>12400</v>
      </c>
      <c r="N10" s="39">
        <v>1</v>
      </c>
      <c r="O10" s="156">
        <f>L10*N10</f>
        <v>11000</v>
      </c>
      <c r="P10" s="156">
        <f>M10*N10</f>
        <v>12400</v>
      </c>
      <c r="Q10" s="174"/>
      <c r="R10" s="109"/>
      <c r="S10" s="64"/>
      <c r="T10" s="64"/>
      <c r="U10" s="73"/>
      <c r="V10" s="76"/>
      <c r="W10" s="76"/>
    </row>
    <row r="11" spans="1:27" s="27" customFormat="1" ht="18" customHeight="1">
      <c r="A11" s="301"/>
      <c r="B11" s="39" t="s">
        <v>166</v>
      </c>
      <c r="C11" s="14">
        <v>99</v>
      </c>
      <c r="D11" s="15">
        <v>180</v>
      </c>
      <c r="E11" s="11">
        <f>D11</f>
        <v>180</v>
      </c>
      <c r="F11" s="12">
        <f t="shared" si="0"/>
        <v>209.30232558139537</v>
      </c>
      <c r="G11" s="12">
        <f t="shared" si="0"/>
        <v>209.30232558139537</v>
      </c>
      <c r="H11" s="13">
        <f>C11*F11</f>
        <v>20720.930232558141</v>
      </c>
      <c r="I11" s="13">
        <f>C11*G11</f>
        <v>20720.930232558141</v>
      </c>
      <c r="J11" s="167" t="str">
        <f>INDEX($J$28:$J$50,MATCH(K11,$K$28:$K$50,0))</f>
        <v>110T</v>
      </c>
      <c r="K11" s="25" t="s">
        <v>1128</v>
      </c>
      <c r="L11" s="156">
        <f>IF(ISERROR(VLOOKUP(K11,LG제품!$A$3:$C$271,2,0)),,VLOOKUP(K11,LG제품!$A$3:$C$271,2,0))</f>
        <v>11000</v>
      </c>
      <c r="M11" s="156">
        <f>IF(ISERROR(VLOOKUP(K11,LG제품!$A$3:$C$271,3,0)),,VLOOKUP(K11,LG제품!$A$3:$C$271,3,0))</f>
        <v>12400</v>
      </c>
      <c r="N11" s="39">
        <v>2</v>
      </c>
      <c r="O11" s="156">
        <f>L11*N11</f>
        <v>22000</v>
      </c>
      <c r="P11" s="156">
        <f>M11*N11</f>
        <v>24800</v>
      </c>
      <c r="Q11" s="174"/>
      <c r="R11" s="109"/>
      <c r="S11" s="64"/>
      <c r="T11" s="64"/>
      <c r="U11" s="73"/>
      <c r="V11" s="76"/>
      <c r="W11" s="76"/>
    </row>
    <row r="12" spans="1:27" s="27" customFormat="1" ht="18" customHeight="1">
      <c r="A12" s="301"/>
      <c r="B12" s="39" t="s">
        <v>167</v>
      </c>
      <c r="C12" s="14">
        <v>22.2</v>
      </c>
      <c r="D12" s="15">
        <v>150</v>
      </c>
      <c r="E12" s="11">
        <f>D12</f>
        <v>150</v>
      </c>
      <c r="F12" s="12">
        <f t="shared" si="0"/>
        <v>174.41860465116278</v>
      </c>
      <c r="G12" s="12">
        <f t="shared" si="0"/>
        <v>174.41860465116278</v>
      </c>
      <c r="H12" s="13">
        <f>C12*F12</f>
        <v>3872.0930232558135</v>
      </c>
      <c r="I12" s="13">
        <f>C12*G12</f>
        <v>3872.0930232558135</v>
      </c>
      <c r="J12" s="167" t="str">
        <f>INDEX($J$28:$J$50,MATCH(K12,$K$28:$K$50,0))</f>
        <v>110T</v>
      </c>
      <c r="K12" s="25" t="s">
        <v>1128</v>
      </c>
      <c r="L12" s="156">
        <f>IF(ISERROR(VLOOKUP(K12,LG제품!$A$3:$C$271,2,0)),,VLOOKUP(K12,LG제품!$A$3:$C$271,2,0))</f>
        <v>11000</v>
      </c>
      <c r="M12" s="156">
        <f>IF(ISERROR(VLOOKUP(K12,LG제품!$A$3:$C$271,3,0)),,VLOOKUP(K12,LG제품!$A$3:$C$271,3,0))</f>
        <v>12400</v>
      </c>
      <c r="N12" s="39">
        <v>1</v>
      </c>
      <c r="O12" s="156">
        <f>L12*N12</f>
        <v>11000</v>
      </c>
      <c r="P12" s="156">
        <f>M12*N12</f>
        <v>12400</v>
      </c>
      <c r="Q12" s="174"/>
      <c r="R12" s="109"/>
      <c r="S12" s="64"/>
      <c r="T12" s="64"/>
      <c r="U12" s="73"/>
      <c r="V12" s="76"/>
      <c r="W12" s="76"/>
    </row>
    <row r="13" spans="1:27" s="27" customFormat="1" ht="18" customHeight="1">
      <c r="A13" s="301"/>
      <c r="B13" s="321" t="s">
        <v>162</v>
      </c>
      <c r="C13" s="321"/>
      <c r="D13" s="321"/>
      <c r="E13" s="321"/>
      <c r="F13" s="321"/>
      <c r="G13" s="321"/>
      <c r="H13" s="321"/>
      <c r="I13" s="321"/>
      <c r="J13" s="222"/>
      <c r="K13" s="223"/>
      <c r="L13" s="224"/>
      <c r="M13" s="224"/>
      <c r="N13" s="210">
        <f>SUM(N8:N12)</f>
        <v>7</v>
      </c>
      <c r="O13" s="224">
        <f>SUM(O8:O12)</f>
        <v>77000</v>
      </c>
      <c r="P13" s="224">
        <f>SUM(P8:P12)</f>
        <v>86800</v>
      </c>
      <c r="Q13" s="175"/>
      <c r="R13" s="110"/>
      <c r="S13" s="65"/>
      <c r="T13" s="65"/>
      <c r="U13" s="74"/>
      <c r="V13" s="77"/>
      <c r="W13" s="77"/>
    </row>
    <row r="14" spans="1:27" s="16" customFormat="1" ht="18" customHeight="1">
      <c r="A14" s="301"/>
      <c r="B14" s="39" t="s">
        <v>168</v>
      </c>
      <c r="C14" s="14">
        <v>64.8</v>
      </c>
      <c r="D14" s="15">
        <v>180</v>
      </c>
      <c r="E14" s="11">
        <f t="shared" ref="E14:E19" si="1">D14</f>
        <v>180</v>
      </c>
      <c r="F14" s="12">
        <f t="shared" ref="F14:G19" si="2">D14/0.86</f>
        <v>209.30232558139537</v>
      </c>
      <c r="G14" s="12">
        <f t="shared" si="2"/>
        <v>209.30232558139537</v>
      </c>
      <c r="H14" s="13">
        <f t="shared" ref="H14:H19" si="3">C14*F14</f>
        <v>13562.79069767442</v>
      </c>
      <c r="I14" s="13">
        <f t="shared" ref="I14:I19" si="4">C14*G14</f>
        <v>13562.79069767442</v>
      </c>
      <c r="J14" s="167" t="str">
        <f t="shared" ref="J14:J19" si="5">INDEX($J$28:$J$50,MATCH(K14,$K$28:$K$50,0))</f>
        <v>110T</v>
      </c>
      <c r="K14" s="25" t="s">
        <v>1128</v>
      </c>
      <c r="L14" s="156">
        <f>IF(ISERROR(VLOOKUP(K14,LG제품!$A$3:$C$271,2,0)),,VLOOKUP(K14,LG제품!$A$3:$C$271,2,0))</f>
        <v>11000</v>
      </c>
      <c r="M14" s="156">
        <f>IF(ISERROR(VLOOKUP(K14,LG제품!$A$3:$C$271,3,0)),,VLOOKUP(K14,LG제품!$A$3:$C$271,3,0))</f>
        <v>12400</v>
      </c>
      <c r="N14" s="39">
        <v>1</v>
      </c>
      <c r="O14" s="157">
        <f t="shared" ref="O14:O19" si="6">L14*N14</f>
        <v>11000</v>
      </c>
      <c r="P14" s="157">
        <f t="shared" ref="P14:P19" si="7">M14*N14</f>
        <v>12400</v>
      </c>
      <c r="Q14" s="173">
        <f>INDEX($Q$28:$Q$43,MATCH(R14,$R$28:$R$43,0))</f>
        <v>48</v>
      </c>
      <c r="R14" s="108" t="s">
        <v>883</v>
      </c>
      <c r="S14" s="13">
        <f>IF(ISERROR(VLOOKUP(R14,LG제품!$E$3:$G$244,2,0)),,VLOOKUP(R14,LG제품!$E$3:$G$244,2,0))</f>
        <v>136400</v>
      </c>
      <c r="T14" s="13">
        <f>IF(ISERROR(VLOOKUP(R14,LG제품!$E$3:$G$244,3,0)),,VLOOKUP(R14,LG제품!$E$3:$G$244,3,0))</f>
        <v>152200</v>
      </c>
      <c r="U14" s="72">
        <v>1</v>
      </c>
      <c r="V14" s="75">
        <f>O20/S14</f>
        <v>0.4838709677419355</v>
      </c>
      <c r="W14" s="108"/>
    </row>
    <row r="15" spans="1:27" s="16" customFormat="1" ht="18" customHeight="1">
      <c r="A15" s="301"/>
      <c r="B15" s="39" t="s">
        <v>169</v>
      </c>
      <c r="C15" s="14">
        <v>16.899999999999999</v>
      </c>
      <c r="D15" s="15">
        <v>150</v>
      </c>
      <c r="E15" s="11">
        <f t="shared" si="1"/>
        <v>150</v>
      </c>
      <c r="F15" s="12">
        <f t="shared" si="2"/>
        <v>174.41860465116278</v>
      </c>
      <c r="G15" s="12">
        <f t="shared" si="2"/>
        <v>174.41860465116278</v>
      </c>
      <c r="H15" s="13">
        <f t="shared" si="3"/>
        <v>2947.6744186046508</v>
      </c>
      <c r="I15" s="13">
        <f t="shared" si="4"/>
        <v>2947.6744186046508</v>
      </c>
      <c r="J15" s="167" t="str">
        <f t="shared" si="5"/>
        <v>110T</v>
      </c>
      <c r="K15" s="25" t="s">
        <v>1128</v>
      </c>
      <c r="L15" s="156">
        <f>IF(ISERROR(VLOOKUP(K15,LG제품!$A$3:$C$271,2,0)),,VLOOKUP(K15,LG제품!$A$3:$C$271,2,0))</f>
        <v>11000</v>
      </c>
      <c r="M15" s="156">
        <f>IF(ISERROR(VLOOKUP(K15,LG제품!$A$3:$C$271,3,0)),,VLOOKUP(K15,LG제품!$A$3:$C$271,3,0))</f>
        <v>12400</v>
      </c>
      <c r="N15" s="39">
        <v>1</v>
      </c>
      <c r="O15" s="157">
        <f t="shared" si="6"/>
        <v>11000</v>
      </c>
      <c r="P15" s="157">
        <f t="shared" si="7"/>
        <v>12400</v>
      </c>
      <c r="Q15" s="174"/>
      <c r="R15" s="109"/>
      <c r="S15" s="64"/>
      <c r="T15" s="64"/>
      <c r="U15" s="73"/>
      <c r="V15" s="76"/>
      <c r="W15" s="109"/>
    </row>
    <row r="16" spans="1:27" s="16" customFormat="1" ht="18" customHeight="1">
      <c r="A16" s="301"/>
      <c r="B16" s="39" t="s">
        <v>170</v>
      </c>
      <c r="C16" s="14">
        <v>66.2</v>
      </c>
      <c r="D16" s="15">
        <v>160</v>
      </c>
      <c r="E16" s="11">
        <f t="shared" si="1"/>
        <v>160</v>
      </c>
      <c r="F16" s="12">
        <f t="shared" si="2"/>
        <v>186.04651162790697</v>
      </c>
      <c r="G16" s="12">
        <f t="shared" si="2"/>
        <v>186.04651162790697</v>
      </c>
      <c r="H16" s="13">
        <f t="shared" si="3"/>
        <v>12316.279069767441</v>
      </c>
      <c r="I16" s="13">
        <f t="shared" si="4"/>
        <v>12316.279069767441</v>
      </c>
      <c r="J16" s="167" t="str">
        <f t="shared" si="5"/>
        <v>110T</v>
      </c>
      <c r="K16" s="25" t="s">
        <v>1128</v>
      </c>
      <c r="L16" s="156">
        <f>IF(ISERROR(VLOOKUP(K16,LG제품!$A$3:$C$271,2,0)),,VLOOKUP(K16,LG제품!$A$3:$C$271,2,0))</f>
        <v>11000</v>
      </c>
      <c r="M16" s="156">
        <f>IF(ISERROR(VLOOKUP(K16,LG제품!$A$3:$C$271,3,0)),,VLOOKUP(K16,LG제품!$A$3:$C$271,3,0))</f>
        <v>12400</v>
      </c>
      <c r="N16" s="39">
        <v>1</v>
      </c>
      <c r="O16" s="157">
        <f t="shared" si="6"/>
        <v>11000</v>
      </c>
      <c r="P16" s="157">
        <f t="shared" si="7"/>
        <v>12400</v>
      </c>
      <c r="Q16" s="174"/>
      <c r="R16" s="109"/>
      <c r="S16" s="64"/>
      <c r="T16" s="64"/>
      <c r="U16" s="73"/>
      <c r="V16" s="76"/>
      <c r="W16" s="109"/>
    </row>
    <row r="17" spans="1:23" s="16" customFormat="1" ht="18" customHeight="1">
      <c r="A17" s="301"/>
      <c r="B17" s="39" t="s">
        <v>171</v>
      </c>
      <c r="C17" s="14">
        <v>32.200000000000003</v>
      </c>
      <c r="D17" s="15">
        <v>170</v>
      </c>
      <c r="E17" s="11">
        <f t="shared" si="1"/>
        <v>170</v>
      </c>
      <c r="F17" s="12">
        <f t="shared" si="2"/>
        <v>197.67441860465118</v>
      </c>
      <c r="G17" s="12">
        <f t="shared" si="2"/>
        <v>197.67441860465118</v>
      </c>
      <c r="H17" s="13">
        <f t="shared" si="3"/>
        <v>6365.116279069769</v>
      </c>
      <c r="I17" s="13">
        <f t="shared" si="4"/>
        <v>6365.116279069769</v>
      </c>
      <c r="J17" s="167" t="str">
        <f t="shared" si="5"/>
        <v>110T</v>
      </c>
      <c r="K17" s="25" t="s">
        <v>1128</v>
      </c>
      <c r="L17" s="156">
        <f>IF(ISERROR(VLOOKUP(K17,LG제품!$A$3:$C$271,2,0)),,VLOOKUP(K17,LG제품!$A$3:$C$271,2,0))</f>
        <v>11000</v>
      </c>
      <c r="M17" s="156">
        <f>IF(ISERROR(VLOOKUP(K17,LG제품!$A$3:$C$271,3,0)),,VLOOKUP(K17,LG제품!$A$3:$C$271,3,0))</f>
        <v>12400</v>
      </c>
      <c r="N17" s="39">
        <v>1</v>
      </c>
      <c r="O17" s="157">
        <f t="shared" si="6"/>
        <v>11000</v>
      </c>
      <c r="P17" s="157">
        <f t="shared" si="7"/>
        <v>12400</v>
      </c>
      <c r="Q17" s="174"/>
      <c r="R17" s="109"/>
      <c r="S17" s="64"/>
      <c r="T17" s="64"/>
      <c r="U17" s="73"/>
      <c r="V17" s="76"/>
      <c r="W17" s="109"/>
    </row>
    <row r="18" spans="1:23" s="16" customFormat="1" ht="18" customHeight="1">
      <c r="A18" s="301"/>
      <c r="B18" s="39" t="s">
        <v>172</v>
      </c>
      <c r="C18" s="14">
        <v>32.200000000000003</v>
      </c>
      <c r="D18" s="15">
        <v>170</v>
      </c>
      <c r="E18" s="11">
        <f t="shared" si="1"/>
        <v>170</v>
      </c>
      <c r="F18" s="12">
        <f t="shared" si="2"/>
        <v>197.67441860465118</v>
      </c>
      <c r="G18" s="12">
        <f t="shared" si="2"/>
        <v>197.67441860465118</v>
      </c>
      <c r="H18" s="13">
        <f t="shared" si="3"/>
        <v>6365.116279069769</v>
      </c>
      <c r="I18" s="13">
        <f t="shared" si="4"/>
        <v>6365.116279069769</v>
      </c>
      <c r="J18" s="167" t="str">
        <f t="shared" si="5"/>
        <v>110T</v>
      </c>
      <c r="K18" s="25" t="s">
        <v>1128</v>
      </c>
      <c r="L18" s="156">
        <f>IF(ISERROR(VLOOKUP(K18,LG제품!$A$3:$C$271,2,0)),,VLOOKUP(K18,LG제품!$A$3:$C$271,2,0))</f>
        <v>11000</v>
      </c>
      <c r="M18" s="156">
        <f>IF(ISERROR(VLOOKUP(K18,LG제품!$A$3:$C$271,3,0)),,VLOOKUP(K18,LG제품!$A$3:$C$271,3,0))</f>
        <v>12400</v>
      </c>
      <c r="N18" s="39">
        <v>1</v>
      </c>
      <c r="O18" s="157">
        <f t="shared" si="6"/>
        <v>11000</v>
      </c>
      <c r="P18" s="157">
        <f t="shared" si="7"/>
        <v>12400</v>
      </c>
      <c r="Q18" s="174"/>
      <c r="R18" s="109"/>
      <c r="S18" s="64"/>
      <c r="T18" s="64"/>
      <c r="U18" s="73"/>
      <c r="V18" s="76"/>
      <c r="W18" s="109"/>
    </row>
    <row r="19" spans="1:23" s="16" customFormat="1" ht="18" customHeight="1">
      <c r="A19" s="301"/>
      <c r="B19" s="39" t="s">
        <v>173</v>
      </c>
      <c r="C19" s="14">
        <v>65.2</v>
      </c>
      <c r="D19" s="15">
        <v>170</v>
      </c>
      <c r="E19" s="11">
        <f t="shared" si="1"/>
        <v>170</v>
      </c>
      <c r="F19" s="12">
        <f t="shared" si="2"/>
        <v>197.67441860465118</v>
      </c>
      <c r="G19" s="12">
        <f t="shared" si="2"/>
        <v>197.67441860465118</v>
      </c>
      <c r="H19" s="13">
        <f t="shared" si="3"/>
        <v>12888.372093023258</v>
      </c>
      <c r="I19" s="13">
        <f t="shared" si="4"/>
        <v>12888.372093023258</v>
      </c>
      <c r="J19" s="167" t="str">
        <f t="shared" si="5"/>
        <v>110T</v>
      </c>
      <c r="K19" s="25" t="s">
        <v>1128</v>
      </c>
      <c r="L19" s="156">
        <f>IF(ISERROR(VLOOKUP(K19,LG제품!$A$3:$C$271,2,0)),,VLOOKUP(K19,LG제품!$A$3:$C$271,2,0))</f>
        <v>11000</v>
      </c>
      <c r="M19" s="156">
        <f>IF(ISERROR(VLOOKUP(K19,LG제품!$A$3:$C$271,3,0)),,VLOOKUP(K19,LG제품!$A$3:$C$271,3,0))</f>
        <v>12400</v>
      </c>
      <c r="N19" s="39">
        <v>1</v>
      </c>
      <c r="O19" s="157">
        <f t="shared" si="6"/>
        <v>11000</v>
      </c>
      <c r="P19" s="157">
        <f t="shared" si="7"/>
        <v>12400</v>
      </c>
      <c r="Q19" s="174"/>
      <c r="R19" s="109"/>
      <c r="S19" s="64"/>
      <c r="T19" s="64"/>
      <c r="U19" s="73"/>
      <c r="V19" s="76"/>
      <c r="W19" s="109"/>
    </row>
    <row r="20" spans="1:23" s="27" customFormat="1" ht="18" customHeight="1">
      <c r="A20" s="302"/>
      <c r="B20" s="321" t="s">
        <v>162</v>
      </c>
      <c r="C20" s="321"/>
      <c r="D20" s="321"/>
      <c r="E20" s="321"/>
      <c r="F20" s="321"/>
      <c r="G20" s="321"/>
      <c r="H20" s="321"/>
      <c r="I20" s="321"/>
      <c r="J20" s="222"/>
      <c r="K20" s="223"/>
      <c r="L20" s="225"/>
      <c r="M20" s="225"/>
      <c r="N20" s="210">
        <f>SUM(N14:N19)</f>
        <v>6</v>
      </c>
      <c r="O20" s="224">
        <f>SUM(O14:O19)</f>
        <v>66000</v>
      </c>
      <c r="P20" s="224">
        <f>SUM(P14:P19)</f>
        <v>74400</v>
      </c>
      <c r="Q20" s="175"/>
      <c r="R20" s="110"/>
      <c r="S20" s="65"/>
      <c r="T20" s="65"/>
      <c r="U20" s="74"/>
      <c r="V20" s="77"/>
      <c r="W20" s="110"/>
    </row>
    <row r="21" spans="1:23" s="27" customFormat="1" ht="18" customHeight="1">
      <c r="A21" s="30"/>
      <c r="B21" s="30"/>
      <c r="C21" s="24"/>
      <c r="D21" s="24"/>
      <c r="E21" s="24"/>
      <c r="F21" s="24"/>
      <c r="G21" s="24"/>
      <c r="H21" s="24"/>
      <c r="I21" s="24"/>
      <c r="J21" s="168"/>
      <c r="K21" s="30"/>
      <c r="L21" s="26"/>
      <c r="M21" s="26"/>
      <c r="N21" s="30">
        <f>SUM(N20,N13,N7)</f>
        <v>19</v>
      </c>
      <c r="O21" s="26"/>
      <c r="P21" s="26"/>
      <c r="Q21" s="176"/>
      <c r="S21" s="26"/>
      <c r="T21" s="26"/>
      <c r="U21" s="31">
        <f>SUM(U5:U20)</f>
        <v>3</v>
      </c>
    </row>
    <row r="22" spans="1:23" s="16" customFormat="1" ht="14.1" customHeight="1">
      <c r="A22" s="16" t="s">
        <v>174</v>
      </c>
      <c r="C22" s="159"/>
      <c r="D22" s="159"/>
      <c r="E22" s="159"/>
      <c r="F22" s="159"/>
      <c r="G22" s="159"/>
      <c r="H22" s="159"/>
      <c r="I22" s="159"/>
      <c r="J22" s="169"/>
      <c r="L22" s="160"/>
      <c r="M22" s="160"/>
      <c r="N22" s="30"/>
      <c r="O22" s="160"/>
      <c r="P22" s="160"/>
      <c r="Q22" s="176"/>
      <c r="S22" s="160"/>
      <c r="T22" s="160"/>
      <c r="U22" s="160"/>
    </row>
    <row r="23" spans="1:23" s="16" customFormat="1" ht="14.1" customHeight="1">
      <c r="A23" s="16" t="s">
        <v>175</v>
      </c>
      <c r="C23" s="159"/>
      <c r="D23" s="159"/>
      <c r="E23" s="159"/>
      <c r="F23" s="159"/>
      <c r="G23" s="159"/>
      <c r="H23" s="159"/>
      <c r="I23" s="159"/>
      <c r="J23" s="169"/>
      <c r="L23" s="160"/>
      <c r="M23" s="160"/>
      <c r="N23" s="30"/>
      <c r="O23" s="160"/>
      <c r="P23" s="160"/>
      <c r="Q23" s="176"/>
      <c r="S23" s="160"/>
      <c r="T23" s="160"/>
      <c r="U23" s="160"/>
    </row>
    <row r="24" spans="1:23" s="16" customFormat="1" ht="14.1" customHeight="1">
      <c r="A24" s="16" t="s">
        <v>10</v>
      </c>
      <c r="C24" s="159"/>
      <c r="D24" s="159"/>
      <c r="E24" s="159"/>
      <c r="F24" s="159"/>
      <c r="G24" s="159"/>
      <c r="H24" s="159"/>
      <c r="I24" s="159"/>
      <c r="J24" s="169"/>
      <c r="L24" s="160"/>
      <c r="M24" s="160"/>
      <c r="N24" s="30"/>
      <c r="O24" s="160"/>
      <c r="P24" s="160"/>
      <c r="Q24" s="176"/>
      <c r="S24" s="160"/>
      <c r="T24" s="160"/>
      <c r="U24" s="160"/>
    </row>
    <row r="25" spans="1:23" s="16" customFormat="1" ht="14.1" customHeight="1">
      <c r="A25" s="16" t="s">
        <v>11</v>
      </c>
      <c r="C25" s="159"/>
      <c r="D25" s="159"/>
      <c r="E25" s="159"/>
      <c r="F25" s="159"/>
      <c r="G25" s="159"/>
      <c r="H25" s="159"/>
      <c r="I25" s="159"/>
      <c r="J25" s="169"/>
      <c r="L25" s="160"/>
      <c r="M25" s="160"/>
      <c r="N25" s="30"/>
      <c r="O25" s="160"/>
      <c r="P25" s="160"/>
      <c r="Q25" s="176"/>
      <c r="S25" s="160"/>
      <c r="T25" s="160"/>
      <c r="U25" s="160"/>
    </row>
    <row r="26" spans="1:23" s="27" customFormat="1" ht="18" customHeight="1">
      <c r="A26" s="30"/>
      <c r="B26" s="30"/>
      <c r="C26" s="24"/>
      <c r="D26" s="24"/>
      <c r="E26" s="24"/>
      <c r="F26" s="24"/>
      <c r="G26" s="24"/>
      <c r="H26" s="24"/>
      <c r="I26" s="24"/>
      <c r="J26" s="168"/>
      <c r="K26" s="30"/>
      <c r="L26" s="26"/>
      <c r="M26" s="26"/>
      <c r="O26" s="26"/>
      <c r="P26" s="26"/>
      <c r="Q26" s="176"/>
      <c r="S26" s="26"/>
      <c r="T26" s="26"/>
      <c r="U26" s="26"/>
    </row>
    <row r="27" spans="1:23" s="27" customFormat="1" ht="18" customHeight="1">
      <c r="A27" s="30"/>
      <c r="B27" s="30"/>
      <c r="C27" s="24"/>
      <c r="D27" s="24"/>
      <c r="E27" s="24"/>
      <c r="F27" s="24"/>
      <c r="G27" s="24"/>
      <c r="H27" s="24"/>
      <c r="I27" s="24"/>
      <c r="J27" s="310" t="s">
        <v>196</v>
      </c>
      <c r="K27" s="311"/>
      <c r="L27" s="312"/>
      <c r="M27" s="26"/>
      <c r="O27" s="26"/>
      <c r="P27" s="26"/>
      <c r="Q27" s="310" t="s">
        <v>733</v>
      </c>
      <c r="R27" s="311"/>
      <c r="S27" s="312"/>
      <c r="T27" s="26"/>
      <c r="U27" s="243" t="s">
        <v>1160</v>
      </c>
      <c r="V27" s="47" t="s">
        <v>1161</v>
      </c>
    </row>
    <row r="28" spans="1:23" s="27" customFormat="1" ht="18" customHeight="1">
      <c r="A28" s="30"/>
      <c r="B28" s="30"/>
      <c r="C28" s="24"/>
      <c r="D28" s="24"/>
      <c r="E28" s="24"/>
      <c r="F28" s="24"/>
      <c r="G28" s="24"/>
      <c r="H28" s="24"/>
      <c r="I28" s="24"/>
      <c r="J28" s="170" t="s">
        <v>308</v>
      </c>
      <c r="K28" s="25" t="s">
        <v>673</v>
      </c>
      <c r="L28" s="46">
        <f t="shared" ref="L28:L50" si="8">SUMPRODUCT(($K$5:$K$20=K28)*($N$5:$N$20))</f>
        <v>0</v>
      </c>
      <c r="M28" s="26"/>
      <c r="O28" s="26"/>
      <c r="P28" s="26"/>
      <c r="Q28" s="177">
        <v>24</v>
      </c>
      <c r="R28" s="29" t="s">
        <v>863</v>
      </c>
      <c r="S28" s="46">
        <f t="shared" ref="S28:S43" si="9">SUMPRODUCT(($R$5:$R$20=R28)*($U$5:$U$20))</f>
        <v>1</v>
      </c>
      <c r="T28" s="26"/>
      <c r="U28" s="243" t="str">
        <f t="shared" ref="U28:U43" si="10">MID(R28,5,2)</f>
        <v>24</v>
      </c>
      <c r="V28" s="47">
        <f>U28*S28</f>
        <v>24</v>
      </c>
    </row>
    <row r="29" spans="1:23" s="27" customFormat="1" ht="18" customHeight="1">
      <c r="A29" s="30"/>
      <c r="B29" s="30"/>
      <c r="C29" s="24"/>
      <c r="D29" s="24"/>
      <c r="E29" s="24"/>
      <c r="F29" s="24"/>
      <c r="G29" s="24"/>
      <c r="H29" s="24"/>
      <c r="I29" s="24"/>
      <c r="J29" s="170" t="s">
        <v>309</v>
      </c>
      <c r="K29" s="25" t="s">
        <v>675</v>
      </c>
      <c r="L29" s="46">
        <f t="shared" si="8"/>
        <v>0</v>
      </c>
      <c r="M29" s="26"/>
      <c r="O29" s="26"/>
      <c r="P29" s="26"/>
      <c r="Q29" s="177">
        <v>26</v>
      </c>
      <c r="R29" s="29" t="s">
        <v>865</v>
      </c>
      <c r="S29" s="46">
        <f t="shared" si="9"/>
        <v>0</v>
      </c>
      <c r="T29" s="26"/>
      <c r="U29" s="243" t="str">
        <f t="shared" si="10"/>
        <v>26</v>
      </c>
      <c r="V29" s="47">
        <f t="shared" ref="V29:V43" si="11">U29*S29</f>
        <v>0</v>
      </c>
    </row>
    <row r="30" spans="1:23" s="27" customFormat="1" ht="18" customHeight="1">
      <c r="A30" s="30"/>
      <c r="B30" s="30"/>
      <c r="C30" s="24"/>
      <c r="D30" s="24"/>
      <c r="E30" s="24"/>
      <c r="F30" s="24"/>
      <c r="G30" s="24"/>
      <c r="H30" s="24"/>
      <c r="I30" s="24"/>
      <c r="J30" s="170" t="s">
        <v>310</v>
      </c>
      <c r="K30" s="25" t="s">
        <v>674</v>
      </c>
      <c r="L30" s="46">
        <f t="shared" si="8"/>
        <v>0</v>
      </c>
      <c r="M30" s="26"/>
      <c r="O30" s="26"/>
      <c r="P30" s="26"/>
      <c r="Q30" s="177">
        <v>28</v>
      </c>
      <c r="R30" s="29" t="s">
        <v>867</v>
      </c>
      <c r="S30" s="46">
        <f t="shared" si="9"/>
        <v>0</v>
      </c>
      <c r="T30" s="26"/>
      <c r="U30" s="243" t="str">
        <f t="shared" si="10"/>
        <v>28</v>
      </c>
      <c r="V30" s="47">
        <f t="shared" si="11"/>
        <v>0</v>
      </c>
    </row>
    <row r="31" spans="1:23" s="27" customFormat="1" ht="18" customHeight="1">
      <c r="A31" s="30"/>
      <c r="B31" s="30"/>
      <c r="C31" s="24"/>
      <c r="D31" s="24"/>
      <c r="E31" s="24"/>
      <c r="F31" s="24"/>
      <c r="G31" s="24"/>
      <c r="H31" s="24"/>
      <c r="I31" s="24"/>
      <c r="J31" s="170" t="s">
        <v>311</v>
      </c>
      <c r="K31" s="25" t="s">
        <v>672</v>
      </c>
      <c r="L31" s="46">
        <f t="shared" si="8"/>
        <v>0</v>
      </c>
      <c r="M31" s="26"/>
      <c r="O31" s="26"/>
      <c r="P31" s="26"/>
      <c r="Q31" s="177">
        <v>30</v>
      </c>
      <c r="R31" s="108" t="s">
        <v>869</v>
      </c>
      <c r="S31" s="46">
        <f t="shared" si="9"/>
        <v>0</v>
      </c>
      <c r="T31" s="26"/>
      <c r="U31" s="243" t="str">
        <f t="shared" si="10"/>
        <v>30</v>
      </c>
      <c r="V31" s="47">
        <f t="shared" si="11"/>
        <v>0</v>
      </c>
    </row>
    <row r="32" spans="1:23" s="27" customFormat="1" ht="18" customHeight="1">
      <c r="A32" s="30"/>
      <c r="B32" s="30"/>
      <c r="C32" s="24"/>
      <c r="D32" s="24"/>
      <c r="E32" s="24"/>
      <c r="F32" s="24"/>
      <c r="G32" s="24"/>
      <c r="H32" s="24"/>
      <c r="I32" s="24"/>
      <c r="J32" s="170" t="s">
        <v>312</v>
      </c>
      <c r="K32" s="25" t="s">
        <v>676</v>
      </c>
      <c r="L32" s="46">
        <f t="shared" si="8"/>
        <v>0</v>
      </c>
      <c r="M32" s="26"/>
      <c r="O32" s="26"/>
      <c r="P32" s="26"/>
      <c r="Q32" s="177">
        <v>32</v>
      </c>
      <c r="R32" s="28" t="s">
        <v>871</v>
      </c>
      <c r="S32" s="46">
        <f t="shared" si="9"/>
        <v>0</v>
      </c>
      <c r="T32" s="26"/>
      <c r="U32" s="243" t="str">
        <f t="shared" si="10"/>
        <v>32</v>
      </c>
      <c r="V32" s="47">
        <f t="shared" si="11"/>
        <v>0</v>
      </c>
    </row>
    <row r="33" spans="10:22" s="27" customFormat="1" ht="18" customHeight="1">
      <c r="J33" s="170" t="s">
        <v>313</v>
      </c>
      <c r="K33" s="25" t="s">
        <v>677</v>
      </c>
      <c r="L33" s="46">
        <f t="shared" si="8"/>
        <v>0</v>
      </c>
      <c r="M33" s="26"/>
      <c r="O33" s="26"/>
      <c r="P33" s="26"/>
      <c r="Q33" s="177">
        <v>35</v>
      </c>
      <c r="R33" s="28" t="s">
        <v>873</v>
      </c>
      <c r="S33" s="46">
        <f t="shared" ref="S33:S41" si="12">SUMPRODUCT(($R$5:$R$20=R33)*($U$5:$U$20))</f>
        <v>0</v>
      </c>
      <c r="U33" s="243" t="str">
        <f t="shared" si="10"/>
        <v>35</v>
      </c>
      <c r="V33" s="47">
        <f t="shared" si="11"/>
        <v>0</v>
      </c>
    </row>
    <row r="34" spans="10:22" s="27" customFormat="1" ht="18" customHeight="1">
      <c r="J34" s="170" t="s">
        <v>314</v>
      </c>
      <c r="K34" s="25" t="s">
        <v>678</v>
      </c>
      <c r="L34" s="46">
        <f t="shared" si="8"/>
        <v>0</v>
      </c>
      <c r="M34" s="26"/>
      <c r="O34" s="26"/>
      <c r="P34" s="26"/>
      <c r="Q34" s="177">
        <v>37</v>
      </c>
      <c r="R34" s="28" t="s">
        <v>875</v>
      </c>
      <c r="S34" s="46">
        <f t="shared" si="12"/>
        <v>0</v>
      </c>
      <c r="U34" s="243" t="str">
        <f t="shared" si="10"/>
        <v>37</v>
      </c>
      <c r="V34" s="47">
        <f t="shared" si="11"/>
        <v>0</v>
      </c>
    </row>
    <row r="35" spans="10:22" s="27" customFormat="1" ht="18" customHeight="1">
      <c r="J35" s="170" t="s">
        <v>315</v>
      </c>
      <c r="K35" s="25" t="s">
        <v>679</v>
      </c>
      <c r="L35" s="46">
        <f t="shared" si="8"/>
        <v>0</v>
      </c>
      <c r="M35" s="26"/>
      <c r="O35" s="26"/>
      <c r="P35" s="26"/>
      <c r="Q35" s="177">
        <v>44</v>
      </c>
      <c r="R35" s="28" t="s">
        <v>877</v>
      </c>
      <c r="S35" s="46">
        <f t="shared" si="12"/>
        <v>0</v>
      </c>
      <c r="U35" s="243" t="str">
        <f t="shared" si="10"/>
        <v>44</v>
      </c>
      <c r="V35" s="47">
        <f t="shared" si="11"/>
        <v>0</v>
      </c>
    </row>
    <row r="36" spans="10:22" s="27" customFormat="1" ht="18" customHeight="1">
      <c r="J36" s="170" t="s">
        <v>316</v>
      </c>
      <c r="K36" s="25" t="s">
        <v>680</v>
      </c>
      <c r="L36" s="46">
        <f t="shared" si="8"/>
        <v>0</v>
      </c>
      <c r="M36" s="26"/>
      <c r="O36" s="26"/>
      <c r="P36" s="26"/>
      <c r="Q36" s="177">
        <v>46</v>
      </c>
      <c r="R36" s="28" t="s">
        <v>879</v>
      </c>
      <c r="S36" s="46">
        <f t="shared" si="12"/>
        <v>0</v>
      </c>
      <c r="U36" s="243" t="str">
        <f t="shared" si="10"/>
        <v>46</v>
      </c>
      <c r="V36" s="47">
        <f t="shared" si="11"/>
        <v>0</v>
      </c>
    </row>
    <row r="37" spans="10:22" s="27" customFormat="1" ht="18" customHeight="1">
      <c r="J37" s="170" t="s">
        <v>317</v>
      </c>
      <c r="K37" s="25" t="s">
        <v>681</v>
      </c>
      <c r="L37" s="46">
        <f t="shared" si="8"/>
        <v>0</v>
      </c>
      <c r="M37" s="26"/>
      <c r="O37" s="26"/>
      <c r="P37" s="26"/>
      <c r="Q37" s="177">
        <v>46</v>
      </c>
      <c r="R37" s="28" t="s">
        <v>881</v>
      </c>
      <c r="S37" s="46">
        <f t="shared" si="12"/>
        <v>1</v>
      </c>
      <c r="U37" s="243" t="str">
        <f t="shared" si="10"/>
        <v>46</v>
      </c>
      <c r="V37" s="47">
        <f t="shared" si="11"/>
        <v>46</v>
      </c>
    </row>
    <row r="38" spans="10:22" s="27" customFormat="1" ht="18" customHeight="1">
      <c r="J38" s="170" t="s">
        <v>318</v>
      </c>
      <c r="K38" s="25" t="s">
        <v>743</v>
      </c>
      <c r="L38" s="46">
        <f t="shared" si="8"/>
        <v>0</v>
      </c>
      <c r="M38" s="26"/>
      <c r="O38" s="26"/>
      <c r="P38" s="26"/>
      <c r="Q38" s="177">
        <v>48</v>
      </c>
      <c r="R38" s="28" t="s">
        <v>883</v>
      </c>
      <c r="S38" s="46">
        <f t="shared" si="12"/>
        <v>1</v>
      </c>
      <c r="U38" s="243" t="str">
        <f t="shared" si="10"/>
        <v>48</v>
      </c>
      <c r="V38" s="47">
        <f t="shared" si="11"/>
        <v>48</v>
      </c>
    </row>
    <row r="39" spans="10:22" s="27" customFormat="1" ht="18" customHeight="1">
      <c r="J39" s="170" t="s">
        <v>319</v>
      </c>
      <c r="K39" s="25" t="s">
        <v>744</v>
      </c>
      <c r="L39" s="46">
        <f t="shared" si="8"/>
        <v>0</v>
      </c>
      <c r="M39" s="26"/>
      <c r="O39" s="26"/>
      <c r="P39" s="26"/>
      <c r="Q39" s="177">
        <v>48</v>
      </c>
      <c r="R39" s="28" t="s">
        <v>885</v>
      </c>
      <c r="S39" s="46">
        <f t="shared" si="12"/>
        <v>0</v>
      </c>
      <c r="U39" s="243" t="str">
        <f t="shared" si="10"/>
        <v>48</v>
      </c>
      <c r="V39" s="47">
        <f t="shared" si="11"/>
        <v>0</v>
      </c>
    </row>
    <row r="40" spans="10:22" s="27" customFormat="1" ht="18" customHeight="1">
      <c r="J40" s="170" t="s">
        <v>320</v>
      </c>
      <c r="K40" s="25" t="s">
        <v>745</v>
      </c>
      <c r="L40" s="46">
        <f t="shared" si="8"/>
        <v>0</v>
      </c>
      <c r="M40" s="26"/>
      <c r="O40" s="26"/>
      <c r="P40" s="26"/>
      <c r="Q40" s="177">
        <v>48</v>
      </c>
      <c r="R40" s="28" t="s">
        <v>887</v>
      </c>
      <c r="S40" s="46">
        <f t="shared" si="12"/>
        <v>0</v>
      </c>
      <c r="U40" s="243" t="str">
        <f t="shared" si="10"/>
        <v>48</v>
      </c>
      <c r="V40" s="47">
        <f t="shared" si="11"/>
        <v>0</v>
      </c>
    </row>
    <row r="41" spans="10:22" s="27" customFormat="1" ht="18" customHeight="1">
      <c r="J41" s="170" t="s">
        <v>321</v>
      </c>
      <c r="K41" s="25" t="s">
        <v>746</v>
      </c>
      <c r="L41" s="46">
        <f>SUMPRODUCT(($K$5:$K$20=K41)*($N$5:$N$20))</f>
        <v>0</v>
      </c>
      <c r="M41" s="26"/>
      <c r="O41" s="26"/>
      <c r="P41" s="26"/>
      <c r="Q41" s="177">
        <v>50</v>
      </c>
      <c r="R41" s="28" t="s">
        <v>889</v>
      </c>
      <c r="S41" s="46">
        <f t="shared" si="12"/>
        <v>0</v>
      </c>
      <c r="U41" s="243" t="str">
        <f t="shared" si="10"/>
        <v>50</v>
      </c>
      <c r="V41" s="47">
        <f t="shared" si="11"/>
        <v>0</v>
      </c>
    </row>
    <row r="42" spans="10:22" s="27" customFormat="1" ht="18" customHeight="1">
      <c r="J42" s="170" t="s">
        <v>322</v>
      </c>
      <c r="K42" s="25" t="s">
        <v>1122</v>
      </c>
      <c r="L42" s="46">
        <f t="shared" si="8"/>
        <v>0</v>
      </c>
      <c r="M42" s="26"/>
      <c r="O42" s="26"/>
      <c r="P42" s="26"/>
      <c r="Q42" s="177">
        <v>50</v>
      </c>
      <c r="R42" s="29" t="s">
        <v>891</v>
      </c>
      <c r="S42" s="46">
        <f t="shared" si="9"/>
        <v>0</v>
      </c>
      <c r="U42" s="243" t="str">
        <f t="shared" si="10"/>
        <v>50</v>
      </c>
      <c r="V42" s="47">
        <f t="shared" si="11"/>
        <v>0</v>
      </c>
    </row>
    <row r="43" spans="10:22" s="27" customFormat="1" ht="18" customHeight="1">
      <c r="J43" s="170" t="s">
        <v>323</v>
      </c>
      <c r="K43" s="25" t="s">
        <v>1123</v>
      </c>
      <c r="L43" s="46">
        <f t="shared" si="8"/>
        <v>0</v>
      </c>
      <c r="M43" s="26"/>
      <c r="O43" s="26"/>
      <c r="P43" s="26"/>
      <c r="Q43" s="177">
        <v>52</v>
      </c>
      <c r="R43" s="29" t="s">
        <v>893</v>
      </c>
      <c r="S43" s="46">
        <f t="shared" si="9"/>
        <v>0</v>
      </c>
      <c r="U43" s="243" t="str">
        <f t="shared" si="10"/>
        <v>52</v>
      </c>
      <c r="V43" s="47">
        <f t="shared" si="11"/>
        <v>0</v>
      </c>
    </row>
    <row r="44" spans="10:22" s="27" customFormat="1" ht="18" customHeight="1">
      <c r="J44" s="170" t="s">
        <v>324</v>
      </c>
      <c r="K44" s="25" t="s">
        <v>1124</v>
      </c>
      <c r="L44" s="46">
        <f t="shared" si="8"/>
        <v>0</v>
      </c>
      <c r="M44" s="26"/>
      <c r="O44" s="26"/>
      <c r="P44" s="26"/>
      <c r="Q44" s="322" t="s">
        <v>198</v>
      </c>
      <c r="R44" s="323"/>
      <c r="S44" s="226">
        <f>SUM(S28:S43)</f>
        <v>3</v>
      </c>
      <c r="U44" s="244" t="s">
        <v>1162</v>
      </c>
      <c r="V44" s="245">
        <f>SUM(V28:V43)</f>
        <v>118</v>
      </c>
    </row>
    <row r="45" spans="10:22" s="27" customFormat="1" ht="18" customHeight="1">
      <c r="J45" s="170" t="s">
        <v>325</v>
      </c>
      <c r="K45" s="25" t="s">
        <v>1125</v>
      </c>
      <c r="L45" s="46">
        <f t="shared" si="8"/>
        <v>0</v>
      </c>
      <c r="M45" s="26"/>
      <c r="O45" s="26"/>
      <c r="P45" s="26"/>
      <c r="Q45" s="176"/>
      <c r="S45" s="26"/>
    </row>
    <row r="46" spans="10:22" s="27" customFormat="1" ht="18" customHeight="1">
      <c r="J46" s="170" t="s">
        <v>326</v>
      </c>
      <c r="K46" s="25" t="s">
        <v>1126</v>
      </c>
      <c r="L46" s="46">
        <f t="shared" si="8"/>
        <v>0</v>
      </c>
      <c r="M46" s="26"/>
      <c r="O46" s="26"/>
      <c r="P46" s="26"/>
      <c r="Q46" s="176"/>
      <c r="S46" s="26"/>
    </row>
    <row r="47" spans="10:22" s="27" customFormat="1" ht="18" customHeight="1">
      <c r="J47" s="170" t="s">
        <v>327</v>
      </c>
      <c r="K47" s="25" t="s">
        <v>1127</v>
      </c>
      <c r="L47" s="46">
        <f t="shared" si="8"/>
        <v>0</v>
      </c>
      <c r="M47" s="26"/>
      <c r="O47" s="26"/>
      <c r="P47" s="26"/>
      <c r="Q47" s="176"/>
      <c r="S47" s="26"/>
    </row>
    <row r="48" spans="10:22" s="27" customFormat="1" ht="18" customHeight="1">
      <c r="J48" s="170" t="s">
        <v>328</v>
      </c>
      <c r="K48" s="25" t="s">
        <v>1128</v>
      </c>
      <c r="L48" s="46">
        <f t="shared" si="8"/>
        <v>19</v>
      </c>
      <c r="M48" s="26"/>
      <c r="O48" s="26"/>
      <c r="P48" s="26"/>
      <c r="Q48" s="176"/>
      <c r="S48" s="26"/>
    </row>
    <row r="49" spans="10:12" s="27" customFormat="1" ht="18" customHeight="1">
      <c r="J49" s="170" t="s">
        <v>329</v>
      </c>
      <c r="K49" s="25" t="s">
        <v>1129</v>
      </c>
      <c r="L49" s="46">
        <f t="shared" si="8"/>
        <v>0</v>
      </c>
    </row>
    <row r="50" spans="10:12" s="27" customFormat="1" ht="18" customHeight="1">
      <c r="J50" s="170" t="s">
        <v>330</v>
      </c>
      <c r="K50" s="25" t="s">
        <v>1130</v>
      </c>
      <c r="L50" s="46">
        <f t="shared" si="8"/>
        <v>0</v>
      </c>
    </row>
    <row r="51" spans="10:12" s="27" customFormat="1" ht="18" customHeight="1">
      <c r="J51" s="322" t="s">
        <v>195</v>
      </c>
      <c r="K51" s="323"/>
      <c r="L51" s="217">
        <f>SUM(L28:L50)</f>
        <v>19</v>
      </c>
    </row>
  </sheetData>
  <mergeCells count="20">
    <mergeCell ref="J51:K51"/>
    <mergeCell ref="A8:A20"/>
    <mergeCell ref="B13:I13"/>
    <mergeCell ref="B20:I20"/>
    <mergeCell ref="J27:L27"/>
    <mergeCell ref="Q27:S27"/>
    <mergeCell ref="Q44:R44"/>
    <mergeCell ref="K3:K4"/>
    <mergeCell ref="Q3:Q4"/>
    <mergeCell ref="R3:R4"/>
    <mergeCell ref="V3:V4"/>
    <mergeCell ref="W3:W4"/>
    <mergeCell ref="A5:A7"/>
    <mergeCell ref="B7:I7"/>
    <mergeCell ref="A3:A4"/>
    <mergeCell ref="B3:B4"/>
    <mergeCell ref="D3:E3"/>
    <mergeCell ref="F3:G3"/>
    <mergeCell ref="H3:I3"/>
    <mergeCell ref="J3:J4"/>
  </mergeCells>
  <phoneticPr fontId="3" type="noConversion"/>
  <dataValidations count="2">
    <dataValidation type="list" allowBlank="1" showInputMessage="1" showErrorMessage="1" sqref="K1:K1048576" xr:uid="{00000000-0002-0000-0400-000000000000}">
      <formula1>M실내기</formula1>
    </dataValidation>
    <dataValidation type="list" allowBlank="1" showInputMessage="1" showErrorMessage="1" sqref="R45:R65529 R31 R21:R26 R1:R14" xr:uid="{00000000-0002-0000-0400-000001000000}">
      <formula1>Sp3실외기</formula1>
    </dataValidation>
  </dataValidations>
  <printOptions horizontalCentered="1"/>
  <pageMargins left="0" right="0" top="0.39370078740157483" bottom="0.39370078740157483" header="0" footer="0"/>
  <pageSetup paperSize="9" scale="70" orientation="landscape" r:id="rId1"/>
  <headerFooter alignWithMargins="0">
    <oddHeader>&amp;C&amp;"Calibri"&amp;12&amp;K000000 LGE Internal Use Only&amp;1#_x000D_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theme="8" tint="-0.499984740745262"/>
  </sheetPr>
  <dimension ref="A1:W56"/>
  <sheetViews>
    <sheetView showGridLines="0" zoomScaleNormal="100" zoomScaleSheetLayoutView="100" workbookViewId="0">
      <selection activeCell="C19" sqref="C19"/>
    </sheetView>
  </sheetViews>
  <sheetFormatPr defaultRowHeight="18" customHeight="1"/>
  <cols>
    <col min="1" max="1" width="7" style="57" customWidth="1"/>
    <col min="2" max="2" width="15.109375" style="57" customWidth="1"/>
    <col min="3" max="7" width="7" style="22" customWidth="1"/>
    <col min="8" max="9" width="8.109375" style="22" customWidth="1"/>
    <col min="10" max="10" width="5" style="171" customWidth="1"/>
    <col min="11" max="11" width="12.21875" style="57" customWidth="1"/>
    <col min="12" max="13" width="10.109375" style="21" customWidth="1"/>
    <col min="14" max="14" width="4.44140625" style="58" customWidth="1"/>
    <col min="15" max="16" width="10.109375" style="21" customWidth="1"/>
    <col min="17" max="17" width="5" style="171" customWidth="1"/>
    <col min="18" max="18" width="12.21875" style="58" customWidth="1"/>
    <col min="19" max="20" width="10.109375" style="21" customWidth="1"/>
    <col min="21" max="21" width="4.44140625" style="21" customWidth="1"/>
    <col min="22" max="22" width="7.109375" style="58" customWidth="1"/>
    <col min="23" max="23" width="6.6640625" style="58" customWidth="1"/>
    <col min="24" max="16384" width="8.88671875" style="58"/>
  </cols>
  <sheetData>
    <row r="1" spans="1:23" s="54" customFormat="1" ht="22.5" customHeight="1">
      <c r="A1" s="52" t="s">
        <v>201</v>
      </c>
      <c r="B1" s="53"/>
      <c r="C1" s="3"/>
      <c r="D1" s="3"/>
      <c r="E1" s="3"/>
      <c r="F1" s="3"/>
      <c r="G1" s="3"/>
      <c r="H1" s="3"/>
      <c r="I1" s="3"/>
      <c r="J1" s="165"/>
      <c r="K1" s="53"/>
      <c r="L1" s="4"/>
      <c r="M1" s="4"/>
      <c r="O1" s="4"/>
      <c r="P1" s="4"/>
      <c r="Q1" s="165"/>
      <c r="S1" s="6"/>
      <c r="T1" s="6"/>
      <c r="U1" s="6"/>
    </row>
    <row r="2" spans="1:23" s="54" customFormat="1" ht="11.25" customHeight="1">
      <c r="A2" s="53"/>
      <c r="B2" s="53"/>
      <c r="C2" s="8"/>
      <c r="D2" s="8"/>
      <c r="E2" s="8"/>
      <c r="F2" s="8"/>
      <c r="G2" s="8"/>
      <c r="H2" s="8"/>
      <c r="I2" s="8"/>
      <c r="J2" s="166"/>
      <c r="K2" s="53"/>
      <c r="L2" s="6"/>
      <c r="M2" s="6"/>
      <c r="O2" s="6"/>
      <c r="P2" s="6"/>
      <c r="Q2" s="166"/>
      <c r="S2" s="6"/>
      <c r="T2" s="6"/>
      <c r="U2" s="6"/>
    </row>
    <row r="3" spans="1:23" s="54" customFormat="1" ht="18" customHeight="1">
      <c r="A3" s="325" t="s">
        <v>12</v>
      </c>
      <c r="B3" s="325" t="s">
        <v>9</v>
      </c>
      <c r="C3" s="218" t="s">
        <v>2</v>
      </c>
      <c r="D3" s="328" t="s">
        <v>4</v>
      </c>
      <c r="E3" s="329"/>
      <c r="F3" s="315" t="s">
        <v>23</v>
      </c>
      <c r="G3" s="315"/>
      <c r="H3" s="316" t="s">
        <v>98</v>
      </c>
      <c r="I3" s="316"/>
      <c r="J3" s="318" t="s">
        <v>307</v>
      </c>
      <c r="K3" s="326" t="s">
        <v>13</v>
      </c>
      <c r="L3" s="219" t="s">
        <v>5</v>
      </c>
      <c r="M3" s="219" t="s">
        <v>6</v>
      </c>
      <c r="N3" s="220" t="s">
        <v>14</v>
      </c>
      <c r="O3" s="219" t="s">
        <v>7</v>
      </c>
      <c r="P3" s="219" t="s">
        <v>8</v>
      </c>
      <c r="Q3" s="318" t="s">
        <v>307</v>
      </c>
      <c r="R3" s="306" t="s">
        <v>15</v>
      </c>
      <c r="S3" s="219" t="s">
        <v>16</v>
      </c>
      <c r="T3" s="219" t="s">
        <v>17</v>
      </c>
      <c r="U3" s="219" t="s">
        <v>14</v>
      </c>
      <c r="V3" s="317" t="s">
        <v>18</v>
      </c>
      <c r="W3" s="317" t="s">
        <v>19</v>
      </c>
    </row>
    <row r="4" spans="1:23" s="54" customFormat="1" ht="18" customHeight="1">
      <c r="A4" s="325"/>
      <c r="B4" s="325"/>
      <c r="C4" s="218" t="s">
        <v>0</v>
      </c>
      <c r="D4" s="218" t="s">
        <v>20</v>
      </c>
      <c r="E4" s="218" t="s">
        <v>21</v>
      </c>
      <c r="F4" s="218" t="s">
        <v>20</v>
      </c>
      <c r="G4" s="218" t="s">
        <v>21</v>
      </c>
      <c r="H4" s="221" t="s">
        <v>99</v>
      </c>
      <c r="I4" s="221" t="s">
        <v>100</v>
      </c>
      <c r="J4" s="319"/>
      <c r="K4" s="327"/>
      <c r="L4" s="219" t="s">
        <v>24</v>
      </c>
      <c r="M4" s="219" t="s">
        <v>24</v>
      </c>
      <c r="N4" s="220" t="s">
        <v>1</v>
      </c>
      <c r="O4" s="219" t="s">
        <v>24</v>
      </c>
      <c r="P4" s="219" t="s">
        <v>24</v>
      </c>
      <c r="Q4" s="319"/>
      <c r="R4" s="306"/>
      <c r="S4" s="219" t="s">
        <v>24</v>
      </c>
      <c r="T4" s="219" t="s">
        <v>24</v>
      </c>
      <c r="U4" s="219" t="s">
        <v>1</v>
      </c>
      <c r="V4" s="317"/>
      <c r="W4" s="317"/>
    </row>
    <row r="5" spans="1:23" s="54" customFormat="1" ht="18" customHeight="1">
      <c r="A5" s="324" t="s">
        <v>120</v>
      </c>
      <c r="B5" s="39" t="s">
        <v>121</v>
      </c>
      <c r="C5" s="14">
        <v>14.276</v>
      </c>
      <c r="D5" s="15">
        <v>130</v>
      </c>
      <c r="E5" s="15">
        <f>D5</f>
        <v>130</v>
      </c>
      <c r="F5" s="12">
        <f t="shared" ref="F5:G8" si="0">D5/0.86</f>
        <v>151.16279069767441</v>
      </c>
      <c r="G5" s="12">
        <f t="shared" si="0"/>
        <v>151.16279069767441</v>
      </c>
      <c r="H5" s="13">
        <f>C5*F5</f>
        <v>2158</v>
      </c>
      <c r="I5" s="13">
        <f>C5*G5</f>
        <v>2158</v>
      </c>
      <c r="J5" s="167" t="str">
        <f>INDEX($J$20:$J$55,MATCH(K5,$K$20:$K$55,0))</f>
        <v>20C</v>
      </c>
      <c r="K5" s="25" t="s">
        <v>300</v>
      </c>
      <c r="L5" s="156">
        <f>IF(ISERROR(VLOOKUP(K5,LG제품!$A$3:$C$271,2,0)),,VLOOKUP(K5,LG제품!$A$3:$C$271,2,0))</f>
        <v>2000</v>
      </c>
      <c r="M5" s="156">
        <f>IF(ISERROR(VLOOKUP(K5,LG제품!$A$3:$C$271,3,0)),,VLOOKUP(K5,LG제품!$A$3:$C$271,3,0))</f>
        <v>2200</v>
      </c>
      <c r="N5" s="39">
        <v>1</v>
      </c>
      <c r="O5" s="156">
        <f>L5*N5</f>
        <v>2000</v>
      </c>
      <c r="P5" s="156">
        <f>M5*N5</f>
        <v>2200</v>
      </c>
      <c r="Q5" s="167">
        <f>INDEX($Q$20:$Q$42,MATCH(R5,$R$20:$R$42,0))</f>
        <v>10</v>
      </c>
      <c r="R5" s="69" t="s">
        <v>682</v>
      </c>
      <c r="S5" s="13">
        <f>IF(ISERROR(VLOOKUP(R5,LG제품!$I$3:$K$39,2,0)),,VLOOKUP(R5,LG제품!$I$3:$K$39,2,0))</f>
        <v>28000</v>
      </c>
      <c r="T5" s="13">
        <f>IF(ISERROR(VLOOKUP(R5,LG제품!$I$3:$K$39,3,0)),,VLOOKUP(R5,LG제품!$I$3:$K$39,3,0))</f>
        <v>31500</v>
      </c>
      <c r="U5" s="72">
        <v>1</v>
      </c>
      <c r="V5" s="75">
        <f>O9/S5</f>
        <v>0.7142857142857143</v>
      </c>
      <c r="W5" s="66"/>
    </row>
    <row r="6" spans="1:23" s="54" customFormat="1" ht="18" customHeight="1">
      <c r="A6" s="324"/>
      <c r="B6" s="39" t="s">
        <v>122</v>
      </c>
      <c r="C6" s="14">
        <v>29.021999999999998</v>
      </c>
      <c r="D6" s="15">
        <v>180</v>
      </c>
      <c r="E6" s="15">
        <f>D6</f>
        <v>180</v>
      </c>
      <c r="F6" s="12">
        <f t="shared" si="0"/>
        <v>209.30232558139537</v>
      </c>
      <c r="G6" s="12">
        <f t="shared" si="0"/>
        <v>209.30232558139537</v>
      </c>
      <c r="H6" s="13">
        <f>C6*F6</f>
        <v>6074.3720930232557</v>
      </c>
      <c r="I6" s="13">
        <f>C6*G6</f>
        <v>6074.3720930232557</v>
      </c>
      <c r="J6" s="167" t="str">
        <f>INDEX($J$20:$J$55,MATCH(K6,$K$20:$K$55,0))</f>
        <v>60T</v>
      </c>
      <c r="K6" s="25" t="s">
        <v>1124</v>
      </c>
      <c r="L6" s="156">
        <f>IF(ISERROR(VLOOKUP(K6,LG제품!$A$3:$C$271,2,0)),,VLOOKUP(K6,LG제품!$A$3:$C$271,2,0))</f>
        <v>6000</v>
      </c>
      <c r="M6" s="156">
        <f>IF(ISERROR(VLOOKUP(K6,LG제품!$A$3:$C$271,3,0)),,VLOOKUP(K6,LG제품!$A$3:$C$271,3,0))</f>
        <v>6800</v>
      </c>
      <c r="N6" s="39">
        <v>1</v>
      </c>
      <c r="O6" s="156">
        <f>L6*N6</f>
        <v>6000</v>
      </c>
      <c r="P6" s="156">
        <f>M6*N6</f>
        <v>6800</v>
      </c>
      <c r="Q6" s="179"/>
      <c r="R6" s="70"/>
      <c r="S6" s="64"/>
      <c r="T6" s="64"/>
      <c r="U6" s="73"/>
      <c r="V6" s="76"/>
      <c r="W6" s="67"/>
    </row>
    <row r="7" spans="1:23" s="54" customFormat="1" ht="18" customHeight="1">
      <c r="A7" s="324"/>
      <c r="B7" s="39" t="s">
        <v>123</v>
      </c>
      <c r="C7" s="14">
        <v>40</v>
      </c>
      <c r="D7" s="55">
        <v>150</v>
      </c>
      <c r="E7" s="15">
        <f>D7</f>
        <v>150</v>
      </c>
      <c r="F7" s="12">
        <f t="shared" si="0"/>
        <v>174.41860465116278</v>
      </c>
      <c r="G7" s="12">
        <f t="shared" si="0"/>
        <v>174.41860465116278</v>
      </c>
      <c r="H7" s="13">
        <f>C7*F7</f>
        <v>6976.7441860465115</v>
      </c>
      <c r="I7" s="13">
        <f>C7*G7</f>
        <v>6976.7441860465115</v>
      </c>
      <c r="J7" s="167" t="str">
        <f>INDEX($J$20:$J$55,MATCH(K7,$K$20:$K$55,0))</f>
        <v>60T</v>
      </c>
      <c r="K7" s="25" t="s">
        <v>1124</v>
      </c>
      <c r="L7" s="156">
        <f>IF(ISERROR(VLOOKUP(K7,LG제품!$A$3:$C$271,2,0)),,VLOOKUP(K7,LG제품!$A$3:$C$271,2,0))</f>
        <v>6000</v>
      </c>
      <c r="M7" s="156">
        <f>IF(ISERROR(VLOOKUP(K7,LG제품!$A$3:$C$271,3,0)),,VLOOKUP(K7,LG제품!$A$3:$C$271,3,0))</f>
        <v>6800</v>
      </c>
      <c r="N7" s="39">
        <v>1</v>
      </c>
      <c r="O7" s="156">
        <f>L7*N7</f>
        <v>6000</v>
      </c>
      <c r="P7" s="156">
        <f>M7*N7</f>
        <v>6800</v>
      </c>
      <c r="Q7" s="179"/>
      <c r="R7" s="70"/>
      <c r="S7" s="64"/>
      <c r="T7" s="64"/>
      <c r="U7" s="73"/>
      <c r="V7" s="76"/>
      <c r="W7" s="67"/>
    </row>
    <row r="8" spans="1:23" s="54" customFormat="1" ht="18" customHeight="1">
      <c r="A8" s="324"/>
      <c r="B8" s="39" t="s">
        <v>124</v>
      </c>
      <c r="C8" s="14">
        <v>50</v>
      </c>
      <c r="D8" s="55">
        <v>180</v>
      </c>
      <c r="E8" s="15">
        <f>D8</f>
        <v>180</v>
      </c>
      <c r="F8" s="12">
        <f t="shared" si="0"/>
        <v>209.30232558139537</v>
      </c>
      <c r="G8" s="12">
        <f t="shared" si="0"/>
        <v>209.30232558139537</v>
      </c>
      <c r="H8" s="13">
        <f>C8*F8</f>
        <v>10465.116279069769</v>
      </c>
      <c r="I8" s="13">
        <f>C8*G8</f>
        <v>10465.116279069769</v>
      </c>
      <c r="J8" s="167" t="str">
        <f>INDEX($J$20:$J$55,MATCH(K8,$K$20:$K$55,0))</f>
        <v>60T</v>
      </c>
      <c r="K8" s="25" t="s">
        <v>1124</v>
      </c>
      <c r="L8" s="156">
        <f>IF(ISERROR(VLOOKUP(K8,LG제품!$A$3:$C$271,2,0)),,VLOOKUP(K8,LG제품!$A$3:$C$271,2,0))</f>
        <v>6000</v>
      </c>
      <c r="M8" s="156">
        <f>IF(ISERROR(VLOOKUP(K8,LG제품!$A$3:$C$271,3,0)),,VLOOKUP(K8,LG제품!$A$3:$C$271,3,0))</f>
        <v>6800</v>
      </c>
      <c r="N8" s="39">
        <v>1</v>
      </c>
      <c r="O8" s="156">
        <f>L8*N8</f>
        <v>6000</v>
      </c>
      <c r="P8" s="156">
        <f>M8*N8</f>
        <v>6800</v>
      </c>
      <c r="Q8" s="179"/>
      <c r="R8" s="70"/>
      <c r="S8" s="64"/>
      <c r="T8" s="64"/>
      <c r="U8" s="73"/>
      <c r="V8" s="76"/>
      <c r="W8" s="67"/>
    </row>
    <row r="9" spans="1:23" s="54" customFormat="1" ht="18" customHeight="1">
      <c r="A9" s="324"/>
      <c r="B9" s="303" t="s">
        <v>119</v>
      </c>
      <c r="C9" s="304"/>
      <c r="D9" s="304"/>
      <c r="E9" s="304"/>
      <c r="F9" s="304"/>
      <c r="G9" s="304"/>
      <c r="H9" s="304"/>
      <c r="I9" s="304"/>
      <c r="J9" s="222"/>
      <c r="K9" s="223"/>
      <c r="L9" s="224"/>
      <c r="M9" s="224"/>
      <c r="N9" s="210">
        <f>SUM(N5:N8)</f>
        <v>4</v>
      </c>
      <c r="O9" s="224">
        <f>SUM(O5:O8)</f>
        <v>20000</v>
      </c>
      <c r="P9" s="224">
        <f>SUM(P5:P8)</f>
        <v>22600</v>
      </c>
      <c r="Q9" s="180"/>
      <c r="R9" s="71"/>
      <c r="S9" s="65"/>
      <c r="T9" s="65"/>
      <c r="U9" s="74"/>
      <c r="V9" s="77"/>
      <c r="W9" s="68"/>
    </row>
    <row r="10" spans="1:23" s="54" customFormat="1" ht="18" customHeight="1">
      <c r="A10" s="111" t="s">
        <v>125</v>
      </c>
      <c r="B10" s="39" t="s">
        <v>749</v>
      </c>
      <c r="C10" s="14">
        <v>30</v>
      </c>
      <c r="D10" s="15">
        <v>150</v>
      </c>
      <c r="E10" s="15">
        <f>D10</f>
        <v>150</v>
      </c>
      <c r="F10" s="12">
        <f t="shared" ref="F10:G13" si="1">D10/0.86</f>
        <v>174.41860465116278</v>
      </c>
      <c r="G10" s="12">
        <f t="shared" si="1"/>
        <v>174.41860465116278</v>
      </c>
      <c r="H10" s="13">
        <f>C10*F10</f>
        <v>5232.5581395348836</v>
      </c>
      <c r="I10" s="13">
        <f>C10*G10</f>
        <v>5232.5581395348836</v>
      </c>
      <c r="J10" s="167" t="str">
        <f>INDEX($J$20:$J$55,MATCH(K10,$K$20:$K$55,0))</f>
        <v>60T</v>
      </c>
      <c r="K10" s="25" t="s">
        <v>1124</v>
      </c>
      <c r="L10" s="156">
        <f>IF(ISERROR(VLOOKUP(K10,LG제품!$A$3:$C$271,2,0)),,VLOOKUP(K10,LG제품!$A$3:$C$271,2,0))</f>
        <v>6000</v>
      </c>
      <c r="M10" s="156">
        <f>IF(ISERROR(VLOOKUP(K10,LG제품!$A$3:$C$271,3,0)),,VLOOKUP(K10,LG제품!$A$3:$C$271,3,0))</f>
        <v>6800</v>
      </c>
      <c r="N10" s="39">
        <v>1</v>
      </c>
      <c r="O10" s="156">
        <f>L10*N10</f>
        <v>6000</v>
      </c>
      <c r="P10" s="156">
        <f>M10*N10</f>
        <v>6800</v>
      </c>
      <c r="Q10" s="167" t="str">
        <f>INDEX($Q$20:$Q$42,MATCH(R10,$R$20:$R$42,0))</f>
        <v>Q8</v>
      </c>
      <c r="R10" s="69" t="s">
        <v>688</v>
      </c>
      <c r="S10" s="13">
        <f>IF(ISERROR(VLOOKUP(R10,LG제품!$I$3:$K$39,2,0)),,VLOOKUP(R10,LG제품!$I$3:$K$39,2,0))</f>
        <v>23000</v>
      </c>
      <c r="T10" s="13">
        <f>IF(ISERROR(VLOOKUP(R10,LG제품!$I$3:$K$39,3,0)),,VLOOKUP(R10,LG제품!$I$3:$K$39,3,0))</f>
        <v>0</v>
      </c>
      <c r="U10" s="72">
        <v>1</v>
      </c>
      <c r="V10" s="75">
        <f>O14/S10</f>
        <v>1.0434782608695652</v>
      </c>
      <c r="W10" s="66"/>
    </row>
    <row r="11" spans="1:23" s="54" customFormat="1" ht="18" customHeight="1">
      <c r="A11" s="111" t="s">
        <v>126</v>
      </c>
      <c r="B11" s="39" t="s">
        <v>749</v>
      </c>
      <c r="C11" s="14">
        <v>30</v>
      </c>
      <c r="D11" s="15">
        <v>150</v>
      </c>
      <c r="E11" s="15">
        <f>D11</f>
        <v>150</v>
      </c>
      <c r="F11" s="12">
        <f t="shared" si="1"/>
        <v>174.41860465116278</v>
      </c>
      <c r="G11" s="12">
        <f t="shared" si="1"/>
        <v>174.41860465116278</v>
      </c>
      <c r="H11" s="13">
        <f>C11*F11</f>
        <v>5232.5581395348836</v>
      </c>
      <c r="I11" s="13">
        <f>C11*G11</f>
        <v>5232.5581395348836</v>
      </c>
      <c r="J11" s="167" t="str">
        <f>INDEX($J$20:$J$55,MATCH(K11,$K$20:$K$55,0))</f>
        <v>60T</v>
      </c>
      <c r="K11" s="25" t="s">
        <v>1124</v>
      </c>
      <c r="L11" s="156">
        <f>IF(ISERROR(VLOOKUP(K11,LG제품!$A$3:$C$271,2,0)),,VLOOKUP(K11,LG제품!$A$3:$C$271,2,0))</f>
        <v>6000</v>
      </c>
      <c r="M11" s="156">
        <f>IF(ISERROR(VLOOKUP(K11,LG제품!$A$3:$C$271,3,0)),,VLOOKUP(K11,LG제품!$A$3:$C$271,3,0))</f>
        <v>6800</v>
      </c>
      <c r="N11" s="39">
        <v>1</v>
      </c>
      <c r="O11" s="156">
        <f>L11*N11</f>
        <v>6000</v>
      </c>
      <c r="P11" s="156">
        <f>M11*N11</f>
        <v>6800</v>
      </c>
      <c r="Q11" s="179"/>
      <c r="R11" s="70"/>
      <c r="S11" s="64"/>
      <c r="T11" s="64"/>
      <c r="U11" s="73"/>
      <c r="V11" s="76"/>
      <c r="W11" s="67"/>
    </row>
    <row r="12" spans="1:23" s="54" customFormat="1" ht="18" customHeight="1">
      <c r="A12" s="111" t="s">
        <v>127</v>
      </c>
      <c r="B12" s="39" t="s">
        <v>749</v>
      </c>
      <c r="C12" s="14">
        <v>30</v>
      </c>
      <c r="D12" s="15">
        <v>150</v>
      </c>
      <c r="E12" s="15">
        <f>D12</f>
        <v>150</v>
      </c>
      <c r="F12" s="12">
        <f t="shared" si="1"/>
        <v>174.41860465116278</v>
      </c>
      <c r="G12" s="12">
        <f t="shared" si="1"/>
        <v>174.41860465116278</v>
      </c>
      <c r="H12" s="13">
        <f>C12*F12</f>
        <v>5232.5581395348836</v>
      </c>
      <c r="I12" s="13">
        <f>C12*G12</f>
        <v>5232.5581395348836</v>
      </c>
      <c r="J12" s="167" t="str">
        <f>INDEX($J$20:$J$55,MATCH(K12,$K$20:$K$55,0))</f>
        <v>60T</v>
      </c>
      <c r="K12" s="25" t="s">
        <v>1124</v>
      </c>
      <c r="L12" s="156">
        <f>IF(ISERROR(VLOOKUP(K12,LG제품!$A$3:$C$271,2,0)),,VLOOKUP(K12,LG제품!$A$3:$C$271,2,0))</f>
        <v>6000</v>
      </c>
      <c r="M12" s="156">
        <f>IF(ISERROR(VLOOKUP(K12,LG제품!$A$3:$C$271,3,0)),,VLOOKUP(K12,LG제품!$A$3:$C$271,3,0))</f>
        <v>6800</v>
      </c>
      <c r="N12" s="39">
        <v>1</v>
      </c>
      <c r="O12" s="156">
        <f>L12*N12</f>
        <v>6000</v>
      </c>
      <c r="P12" s="156">
        <f>M12*N12</f>
        <v>6800</v>
      </c>
      <c r="Q12" s="179"/>
      <c r="R12" s="70"/>
      <c r="S12" s="64"/>
      <c r="T12" s="64"/>
      <c r="U12" s="73"/>
      <c r="V12" s="76"/>
      <c r="W12" s="67"/>
    </row>
    <row r="13" spans="1:23" s="54" customFormat="1" ht="18" customHeight="1">
      <c r="A13" s="111" t="s">
        <v>128</v>
      </c>
      <c r="B13" s="39" t="s">
        <v>749</v>
      </c>
      <c r="C13" s="14">
        <v>30</v>
      </c>
      <c r="D13" s="15">
        <v>150</v>
      </c>
      <c r="E13" s="15">
        <f>D13</f>
        <v>150</v>
      </c>
      <c r="F13" s="12">
        <f t="shared" si="1"/>
        <v>174.41860465116278</v>
      </c>
      <c r="G13" s="12">
        <f t="shared" si="1"/>
        <v>174.41860465116278</v>
      </c>
      <c r="H13" s="13">
        <f>C13*F13</f>
        <v>5232.5581395348836</v>
      </c>
      <c r="I13" s="13">
        <f>C13*G13</f>
        <v>5232.5581395348836</v>
      </c>
      <c r="J13" s="167" t="str">
        <f>INDEX($J$20:$J$55,MATCH(K13,$K$20:$K$55,0))</f>
        <v>60T</v>
      </c>
      <c r="K13" s="25" t="s">
        <v>1124</v>
      </c>
      <c r="L13" s="156">
        <f>IF(ISERROR(VLOOKUP(K13,LG제품!$A$3:$C$271,2,0)),,VLOOKUP(K13,LG제품!$A$3:$C$271,2,0))</f>
        <v>6000</v>
      </c>
      <c r="M13" s="156">
        <f>IF(ISERROR(VLOOKUP(K13,LG제품!$A$3:$C$271,3,0)),,VLOOKUP(K13,LG제품!$A$3:$C$271,3,0))</f>
        <v>6800</v>
      </c>
      <c r="N13" s="39">
        <v>1</v>
      </c>
      <c r="O13" s="156">
        <f>L13*N13</f>
        <v>6000</v>
      </c>
      <c r="P13" s="156">
        <f>M13*N13</f>
        <v>6800</v>
      </c>
      <c r="Q13" s="179"/>
      <c r="R13" s="70"/>
      <c r="S13" s="64"/>
      <c r="T13" s="64"/>
      <c r="U13" s="73"/>
      <c r="V13" s="76"/>
      <c r="W13" s="67"/>
    </row>
    <row r="14" spans="1:23" s="54" customFormat="1" ht="18" customHeight="1">
      <c r="A14" s="56"/>
      <c r="B14" s="303" t="s">
        <v>129</v>
      </c>
      <c r="C14" s="304"/>
      <c r="D14" s="304"/>
      <c r="E14" s="304"/>
      <c r="F14" s="304"/>
      <c r="G14" s="304"/>
      <c r="H14" s="304"/>
      <c r="I14" s="304"/>
      <c r="J14" s="222"/>
      <c r="K14" s="223"/>
      <c r="L14" s="223"/>
      <c r="M14" s="223"/>
      <c r="N14" s="210">
        <f>SUM(N10:N13)</f>
        <v>4</v>
      </c>
      <c r="O14" s="224">
        <f>SUM(O10:O13)</f>
        <v>24000</v>
      </c>
      <c r="P14" s="224">
        <f>SUM(P10:P13)</f>
        <v>27200</v>
      </c>
      <c r="Q14" s="180"/>
      <c r="R14" s="71"/>
      <c r="S14" s="65"/>
      <c r="T14" s="65"/>
      <c r="U14" s="74"/>
      <c r="V14" s="77"/>
      <c r="W14" s="68"/>
    </row>
    <row r="15" spans="1:23" s="54" customFormat="1" ht="18" customHeight="1">
      <c r="A15" s="53"/>
      <c r="B15" s="53"/>
      <c r="C15" s="8"/>
      <c r="D15" s="8"/>
      <c r="E15" s="8"/>
      <c r="F15" s="8"/>
      <c r="G15" s="8"/>
      <c r="H15" s="8"/>
      <c r="I15" s="8"/>
      <c r="J15" s="166"/>
      <c r="K15" s="53"/>
      <c r="L15" s="6"/>
      <c r="M15" s="26"/>
      <c r="N15" s="59">
        <f>SUM(N14,N9)</f>
        <v>8</v>
      </c>
      <c r="O15" s="26"/>
      <c r="P15" s="26"/>
      <c r="Q15" s="168"/>
      <c r="R15" s="60"/>
      <c r="S15" s="26"/>
      <c r="T15" s="26"/>
      <c r="U15" s="31">
        <f>SUM(U5:U14)</f>
        <v>2</v>
      </c>
      <c r="V15" s="60"/>
    </row>
    <row r="19" spans="10:22" s="54" customFormat="1" ht="18" customHeight="1">
      <c r="J19" s="310" t="s">
        <v>199</v>
      </c>
      <c r="K19" s="311"/>
      <c r="L19" s="312"/>
      <c r="M19" s="26"/>
      <c r="N19" s="60"/>
      <c r="O19" s="26"/>
      <c r="P19" s="26"/>
      <c r="Q19" s="310" t="s">
        <v>199</v>
      </c>
      <c r="R19" s="311"/>
      <c r="S19" s="312"/>
      <c r="U19" s="243" t="s">
        <v>1160</v>
      </c>
      <c r="V19" s="47" t="s">
        <v>1161</v>
      </c>
    </row>
    <row r="20" spans="10:22" s="54" customFormat="1" ht="18" customHeight="1">
      <c r="J20" s="170" t="s">
        <v>308</v>
      </c>
      <c r="K20" s="25" t="s">
        <v>300</v>
      </c>
      <c r="L20" s="46">
        <f t="shared" ref="L20:L42" si="2">SUMPRODUCT(($K$5:$K$16=K20)*($N$5:$N$16))</f>
        <v>1</v>
      </c>
      <c r="M20" s="26"/>
      <c r="N20" s="60"/>
      <c r="O20" s="26"/>
      <c r="P20" s="26"/>
      <c r="Q20" s="170" t="s">
        <v>209</v>
      </c>
      <c r="R20" s="28" t="s">
        <v>621</v>
      </c>
      <c r="S20" s="46">
        <f t="shared" ref="S20:S42" si="3">SUMPRODUCT(($R$5:$R$15=R20)*($U$5:$U$15))</f>
        <v>0</v>
      </c>
      <c r="U20" s="243" t="str">
        <f t="shared" ref="U20:U33" si="4">MID(R20,5,2)</f>
        <v>04</v>
      </c>
      <c r="V20" s="47">
        <f>U20*S20</f>
        <v>0</v>
      </c>
    </row>
    <row r="21" spans="10:22" s="54" customFormat="1" ht="18" customHeight="1">
      <c r="J21" s="170" t="s">
        <v>309</v>
      </c>
      <c r="K21" s="25" t="s">
        <v>94</v>
      </c>
      <c r="L21" s="46">
        <f t="shared" si="2"/>
        <v>0</v>
      </c>
      <c r="M21" s="26"/>
      <c r="N21" s="60"/>
      <c r="O21" s="26"/>
      <c r="P21" s="26"/>
      <c r="Q21" s="170" t="s">
        <v>348</v>
      </c>
      <c r="R21" s="28" t="s">
        <v>622</v>
      </c>
      <c r="S21" s="46">
        <f t="shared" si="3"/>
        <v>0</v>
      </c>
      <c r="U21" s="243" t="str">
        <f t="shared" si="4"/>
        <v>05</v>
      </c>
      <c r="V21" s="47">
        <f t="shared" ref="V21:V42" si="5">U21*S21</f>
        <v>0</v>
      </c>
    </row>
    <row r="22" spans="10:22" s="54" customFormat="1" ht="18" customHeight="1">
      <c r="J22" s="170" t="s">
        <v>310</v>
      </c>
      <c r="K22" s="25" t="s">
        <v>301</v>
      </c>
      <c r="L22" s="46">
        <f t="shared" si="2"/>
        <v>0</v>
      </c>
      <c r="M22" s="26"/>
      <c r="N22" s="60"/>
      <c r="O22" s="26"/>
      <c r="P22" s="26"/>
      <c r="Q22" s="170" t="s">
        <v>349</v>
      </c>
      <c r="R22" s="28" t="s">
        <v>623</v>
      </c>
      <c r="S22" s="46">
        <f t="shared" si="3"/>
        <v>0</v>
      </c>
      <c r="U22" s="243" t="str">
        <f t="shared" si="4"/>
        <v>06</v>
      </c>
      <c r="V22" s="47">
        <f t="shared" si="5"/>
        <v>0</v>
      </c>
    </row>
    <row r="23" spans="10:22" s="54" customFormat="1" ht="18" customHeight="1">
      <c r="J23" s="170" t="s">
        <v>311</v>
      </c>
      <c r="K23" s="25" t="s">
        <v>194</v>
      </c>
      <c r="L23" s="46">
        <f t="shared" si="2"/>
        <v>0</v>
      </c>
      <c r="M23" s="26"/>
      <c r="N23" s="60"/>
      <c r="O23" s="26"/>
      <c r="P23" s="26"/>
      <c r="Q23" s="170" t="s">
        <v>350</v>
      </c>
      <c r="R23" s="28" t="s">
        <v>683</v>
      </c>
      <c r="S23" s="46">
        <f t="shared" si="3"/>
        <v>0</v>
      </c>
      <c r="U23" s="243" t="str">
        <f t="shared" si="4"/>
        <v>08</v>
      </c>
      <c r="V23" s="47">
        <f t="shared" si="5"/>
        <v>0</v>
      </c>
    </row>
    <row r="24" spans="10:22" s="54" customFormat="1" ht="18" customHeight="1">
      <c r="J24" s="170" t="s">
        <v>312</v>
      </c>
      <c r="K24" s="25" t="s">
        <v>302</v>
      </c>
      <c r="L24" s="46">
        <f t="shared" si="2"/>
        <v>0</v>
      </c>
      <c r="M24" s="26"/>
      <c r="N24" s="60"/>
      <c r="O24" s="26"/>
      <c r="P24" s="26"/>
      <c r="Q24" s="170" t="s">
        <v>351</v>
      </c>
      <c r="R24" s="28" t="s">
        <v>684</v>
      </c>
      <c r="S24" s="46">
        <f t="shared" si="3"/>
        <v>0</v>
      </c>
      <c r="U24" s="243" t="str">
        <f t="shared" si="4"/>
        <v>10</v>
      </c>
      <c r="V24" s="47">
        <f t="shared" si="5"/>
        <v>0</v>
      </c>
    </row>
    <row r="25" spans="10:22" s="54" customFormat="1" ht="18" customHeight="1">
      <c r="J25" s="170" t="s">
        <v>313</v>
      </c>
      <c r="K25" s="25" t="s">
        <v>303</v>
      </c>
      <c r="L25" s="46">
        <f t="shared" si="2"/>
        <v>0</v>
      </c>
      <c r="M25" s="26"/>
      <c r="N25" s="60"/>
      <c r="O25" s="26"/>
      <c r="P25" s="26"/>
      <c r="Q25" s="170">
        <v>4</v>
      </c>
      <c r="R25" s="28" t="s">
        <v>856</v>
      </c>
      <c r="S25" s="46">
        <f t="shared" si="3"/>
        <v>0</v>
      </c>
      <c r="U25" s="243" t="str">
        <f t="shared" si="4"/>
        <v>04</v>
      </c>
      <c r="V25" s="47">
        <f t="shared" si="5"/>
        <v>0</v>
      </c>
    </row>
    <row r="26" spans="10:22" s="54" customFormat="1" ht="18" customHeight="1">
      <c r="J26" s="170" t="s">
        <v>314</v>
      </c>
      <c r="K26" s="25" t="s">
        <v>356</v>
      </c>
      <c r="L26" s="46">
        <f t="shared" si="2"/>
        <v>0</v>
      </c>
      <c r="M26" s="26"/>
      <c r="N26" s="60"/>
      <c r="O26" s="26"/>
      <c r="P26" s="26"/>
      <c r="Q26" s="170">
        <v>5</v>
      </c>
      <c r="R26" s="28" t="s">
        <v>857</v>
      </c>
      <c r="S26" s="46">
        <f t="shared" si="3"/>
        <v>0</v>
      </c>
      <c r="U26" s="243" t="str">
        <f t="shared" si="4"/>
        <v>05</v>
      </c>
      <c r="V26" s="47">
        <f t="shared" si="5"/>
        <v>0</v>
      </c>
    </row>
    <row r="27" spans="10:22" s="54" customFormat="1" ht="18" customHeight="1">
      <c r="J27" s="170" t="s">
        <v>315</v>
      </c>
      <c r="K27" s="25" t="s">
        <v>212</v>
      </c>
      <c r="L27" s="46">
        <f t="shared" si="2"/>
        <v>0</v>
      </c>
      <c r="M27" s="26"/>
      <c r="N27" s="60"/>
      <c r="O27" s="26"/>
      <c r="P27" s="26"/>
      <c r="Q27" s="170">
        <v>6</v>
      </c>
      <c r="R27" s="28" t="s">
        <v>858</v>
      </c>
      <c r="S27" s="46">
        <f t="shared" si="3"/>
        <v>0</v>
      </c>
      <c r="U27" s="243" t="str">
        <f t="shared" si="4"/>
        <v>06</v>
      </c>
      <c r="V27" s="47">
        <f t="shared" si="5"/>
        <v>0</v>
      </c>
    </row>
    <row r="28" spans="10:22" s="54" customFormat="1" ht="18" customHeight="1">
      <c r="J28" s="170" t="s">
        <v>332</v>
      </c>
      <c r="K28" s="25" t="s">
        <v>213</v>
      </c>
      <c r="L28" s="46">
        <f t="shared" si="2"/>
        <v>0</v>
      </c>
      <c r="M28" s="26"/>
      <c r="N28" s="60"/>
      <c r="O28" s="26"/>
      <c r="P28" s="26"/>
      <c r="Q28" s="170">
        <v>4</v>
      </c>
      <c r="R28" s="28" t="s">
        <v>859</v>
      </c>
      <c r="S28" s="46">
        <f t="shared" si="3"/>
        <v>0</v>
      </c>
      <c r="U28" s="243" t="str">
        <f t="shared" si="4"/>
        <v>04</v>
      </c>
      <c r="V28" s="47">
        <f t="shared" si="5"/>
        <v>0</v>
      </c>
    </row>
    <row r="29" spans="10:22" s="54" customFormat="1" ht="18" customHeight="1">
      <c r="J29" s="170" t="s">
        <v>333</v>
      </c>
      <c r="K29" s="25" t="s">
        <v>214</v>
      </c>
      <c r="L29" s="46">
        <f t="shared" si="2"/>
        <v>0</v>
      </c>
      <c r="M29" s="26"/>
      <c r="N29" s="60"/>
      <c r="O29" s="26"/>
      <c r="P29" s="26"/>
      <c r="Q29" s="170">
        <v>5</v>
      </c>
      <c r="R29" s="28" t="s">
        <v>860</v>
      </c>
      <c r="S29" s="46">
        <f t="shared" si="3"/>
        <v>0</v>
      </c>
      <c r="U29" s="243" t="str">
        <f t="shared" si="4"/>
        <v>05</v>
      </c>
      <c r="V29" s="47">
        <f t="shared" si="5"/>
        <v>0</v>
      </c>
    </row>
    <row r="30" spans="10:22" s="54" customFormat="1" ht="18" customHeight="1">
      <c r="J30" s="170" t="s">
        <v>334</v>
      </c>
      <c r="K30" s="25" t="s">
        <v>304</v>
      </c>
      <c r="L30" s="46">
        <f t="shared" si="2"/>
        <v>0</v>
      </c>
      <c r="M30" s="26"/>
      <c r="N30" s="60"/>
      <c r="O30" s="26"/>
      <c r="P30" s="26"/>
      <c r="Q30" s="170">
        <v>6</v>
      </c>
      <c r="R30" s="28" t="s">
        <v>685</v>
      </c>
      <c r="S30" s="46">
        <f t="shared" si="3"/>
        <v>0</v>
      </c>
      <c r="U30" s="243" t="str">
        <f t="shared" si="4"/>
        <v>06</v>
      </c>
      <c r="V30" s="47">
        <f t="shared" si="5"/>
        <v>0</v>
      </c>
    </row>
    <row r="31" spans="10:22" s="54" customFormat="1" ht="18" customHeight="1">
      <c r="J31" s="170" t="s">
        <v>335</v>
      </c>
      <c r="K31" s="25" t="s">
        <v>305</v>
      </c>
      <c r="L31" s="46">
        <f t="shared" si="2"/>
        <v>0</v>
      </c>
      <c r="M31" s="26"/>
      <c r="N31" s="60"/>
      <c r="O31" s="26"/>
      <c r="P31" s="26"/>
      <c r="Q31" s="170">
        <v>8</v>
      </c>
      <c r="R31" s="28" t="s">
        <v>686</v>
      </c>
      <c r="S31" s="46">
        <f t="shared" si="3"/>
        <v>0</v>
      </c>
      <c r="U31" s="243" t="str">
        <f t="shared" si="4"/>
        <v>08</v>
      </c>
      <c r="V31" s="47">
        <f t="shared" si="5"/>
        <v>0</v>
      </c>
    </row>
    <row r="32" spans="10:22" s="54" customFormat="1" ht="18" customHeight="1">
      <c r="J32" s="170" t="s">
        <v>336</v>
      </c>
      <c r="K32" s="25" t="s">
        <v>102</v>
      </c>
      <c r="L32" s="46">
        <f t="shared" si="2"/>
        <v>0</v>
      </c>
      <c r="M32" s="26"/>
      <c r="N32" s="60"/>
      <c r="O32" s="26"/>
      <c r="P32" s="26"/>
      <c r="Q32" s="170">
        <v>10</v>
      </c>
      <c r="R32" s="28" t="s">
        <v>682</v>
      </c>
      <c r="S32" s="46">
        <f t="shared" ref="S32" si="6">SUMPRODUCT(($R$5:$R$15=R32)*($U$5:$U$15))</f>
        <v>1</v>
      </c>
      <c r="U32" s="243" t="str">
        <f t="shared" si="4"/>
        <v>10</v>
      </c>
      <c r="V32" s="47">
        <f t="shared" si="5"/>
        <v>10</v>
      </c>
    </row>
    <row r="33" spans="10:22" s="54" customFormat="1" ht="18" customHeight="1">
      <c r="J33" s="170" t="s">
        <v>306</v>
      </c>
      <c r="K33" s="25" t="s">
        <v>1059</v>
      </c>
      <c r="L33" s="46">
        <f t="shared" si="2"/>
        <v>0</v>
      </c>
      <c r="M33" s="26"/>
      <c r="N33" s="60"/>
      <c r="O33" s="26"/>
      <c r="P33" s="26"/>
      <c r="Q33" s="170">
        <v>12</v>
      </c>
      <c r="R33" s="28" t="s">
        <v>687</v>
      </c>
      <c r="S33" s="46">
        <f t="shared" si="3"/>
        <v>0</v>
      </c>
      <c r="U33" s="243" t="str">
        <f t="shared" si="4"/>
        <v>12</v>
      </c>
      <c r="V33" s="47">
        <f t="shared" si="5"/>
        <v>0</v>
      </c>
    </row>
    <row r="34" spans="10:22" s="54" customFormat="1" ht="18" customHeight="1">
      <c r="J34" s="170" t="s">
        <v>337</v>
      </c>
      <c r="K34" s="25" t="s">
        <v>1122</v>
      </c>
      <c r="L34" s="46">
        <f t="shared" si="2"/>
        <v>0</v>
      </c>
      <c r="M34" s="26"/>
      <c r="N34" s="60"/>
      <c r="O34" s="26"/>
      <c r="P34" s="26"/>
      <c r="Q34" s="322" t="s">
        <v>195</v>
      </c>
      <c r="R34" s="323"/>
      <c r="S34" s="217">
        <f>SUM(S20:S33)</f>
        <v>1</v>
      </c>
      <c r="U34" s="243"/>
      <c r="V34" s="47"/>
    </row>
    <row r="35" spans="10:22" s="54" customFormat="1" ht="18" customHeight="1">
      <c r="J35" s="170" t="s">
        <v>203</v>
      </c>
      <c r="K35" s="25" t="s">
        <v>1123</v>
      </c>
      <c r="L35" s="46">
        <f t="shared" si="2"/>
        <v>0</v>
      </c>
      <c r="M35" s="26"/>
      <c r="N35" s="60"/>
      <c r="O35" s="26"/>
      <c r="P35" s="26"/>
      <c r="Q35" s="310" t="s">
        <v>200</v>
      </c>
      <c r="R35" s="311"/>
      <c r="S35" s="312"/>
      <c r="U35" s="243"/>
      <c r="V35" s="47"/>
    </row>
    <row r="36" spans="10:22" s="54" customFormat="1" ht="18" customHeight="1">
      <c r="J36" s="170" t="s">
        <v>338</v>
      </c>
      <c r="K36" s="25" t="s">
        <v>1124</v>
      </c>
      <c r="L36" s="46">
        <f t="shared" si="2"/>
        <v>7</v>
      </c>
      <c r="M36" s="26"/>
      <c r="N36" s="60"/>
      <c r="O36" s="26"/>
      <c r="P36" s="26"/>
      <c r="Q36" s="170" t="s">
        <v>352</v>
      </c>
      <c r="R36" s="28" t="s">
        <v>1166</v>
      </c>
      <c r="S36" s="46">
        <f t="shared" si="3"/>
        <v>0</v>
      </c>
      <c r="U36" s="243" t="str">
        <f>MID(R36,5,2)</f>
        <v>02</v>
      </c>
      <c r="V36" s="47">
        <f t="shared" si="5"/>
        <v>0</v>
      </c>
    </row>
    <row r="37" spans="10:22" s="54" customFormat="1" ht="18" customHeight="1">
      <c r="J37" s="170" t="s">
        <v>204</v>
      </c>
      <c r="K37" s="25" t="s">
        <v>1125</v>
      </c>
      <c r="L37" s="46">
        <f t="shared" si="2"/>
        <v>0</v>
      </c>
      <c r="M37" s="26"/>
      <c r="N37" s="60"/>
      <c r="O37" s="26"/>
      <c r="P37" s="26"/>
      <c r="Q37" s="170" t="s">
        <v>353</v>
      </c>
      <c r="R37" s="28" t="s">
        <v>1169</v>
      </c>
      <c r="S37" s="46">
        <f t="shared" si="3"/>
        <v>0</v>
      </c>
      <c r="U37" s="243" t="str">
        <f>MID(R37,5,2)</f>
        <v>03</v>
      </c>
      <c r="V37" s="47">
        <f t="shared" si="5"/>
        <v>0</v>
      </c>
    </row>
    <row r="38" spans="10:22" s="54" customFormat="1" ht="18" customHeight="1">
      <c r="J38" s="170" t="s">
        <v>205</v>
      </c>
      <c r="K38" s="25" t="s">
        <v>1126</v>
      </c>
      <c r="L38" s="46">
        <f t="shared" si="2"/>
        <v>0</v>
      </c>
      <c r="M38" s="26"/>
      <c r="N38" s="60"/>
      <c r="O38" s="26"/>
      <c r="P38" s="26"/>
      <c r="Q38" s="170" t="s">
        <v>209</v>
      </c>
      <c r="R38" s="28" t="s">
        <v>1172</v>
      </c>
      <c r="S38" s="46">
        <f t="shared" ref="S38" si="7">SUMPRODUCT(($R$5:$R$15=R38)*($U$5:$U$15))</f>
        <v>0</v>
      </c>
      <c r="U38" s="243" t="str">
        <f>MID(R38,5,2)</f>
        <v>04</v>
      </c>
      <c r="V38" s="47">
        <f t="shared" si="5"/>
        <v>0</v>
      </c>
    </row>
    <row r="39" spans="10:22" s="54" customFormat="1" ht="18" customHeight="1">
      <c r="J39" s="170" t="s">
        <v>339</v>
      </c>
      <c r="K39" s="25" t="s">
        <v>1127</v>
      </c>
      <c r="L39" s="46">
        <f t="shared" si="2"/>
        <v>0</v>
      </c>
      <c r="M39" s="26"/>
      <c r="N39" s="60"/>
      <c r="O39" s="26"/>
      <c r="P39" s="26"/>
      <c r="Q39" s="170" t="s">
        <v>348</v>
      </c>
      <c r="R39" s="28" t="s">
        <v>1175</v>
      </c>
      <c r="S39" s="46">
        <f t="shared" si="3"/>
        <v>0</v>
      </c>
      <c r="U39" s="243" t="str">
        <f>MID(R39,5,2)</f>
        <v>05</v>
      </c>
      <c r="V39" s="47">
        <f t="shared" si="5"/>
        <v>0</v>
      </c>
    </row>
    <row r="40" spans="10:22" s="54" customFormat="1" ht="18" customHeight="1">
      <c r="J40" s="170" t="s">
        <v>340</v>
      </c>
      <c r="K40" s="25" t="s">
        <v>1128</v>
      </c>
      <c r="L40" s="46">
        <f t="shared" si="2"/>
        <v>0</v>
      </c>
      <c r="M40" s="26"/>
      <c r="N40" s="60"/>
      <c r="O40" s="26"/>
      <c r="P40" s="26"/>
      <c r="Q40" s="170" t="s">
        <v>349</v>
      </c>
      <c r="R40" s="28" t="s">
        <v>1178</v>
      </c>
      <c r="S40" s="46">
        <f t="shared" si="3"/>
        <v>0</v>
      </c>
      <c r="U40" s="243" t="str">
        <f>MID(R40,5,2)</f>
        <v>06</v>
      </c>
      <c r="V40" s="47">
        <f t="shared" si="5"/>
        <v>0</v>
      </c>
    </row>
    <row r="41" spans="10:22" s="54" customFormat="1" ht="18" customHeight="1">
      <c r="J41" s="170" t="s">
        <v>202</v>
      </c>
      <c r="K41" s="25" t="s">
        <v>1129</v>
      </c>
      <c r="L41" s="46">
        <f t="shared" si="2"/>
        <v>0</v>
      </c>
      <c r="M41" s="26"/>
      <c r="N41" s="60"/>
      <c r="O41" s="26"/>
      <c r="P41" s="26"/>
      <c r="Q41" s="170" t="s">
        <v>350</v>
      </c>
      <c r="R41" s="28" t="s">
        <v>688</v>
      </c>
      <c r="S41" s="46">
        <f t="shared" si="3"/>
        <v>1</v>
      </c>
      <c r="U41" s="243" t="str">
        <f t="shared" ref="U41:U42" si="8">MID(R41,5,2)</f>
        <v>08</v>
      </c>
      <c r="V41" s="47">
        <f t="shared" si="5"/>
        <v>8</v>
      </c>
    </row>
    <row r="42" spans="10:22" s="54" customFormat="1" ht="18" customHeight="1">
      <c r="J42" s="170" t="s">
        <v>206</v>
      </c>
      <c r="K42" s="25" t="s">
        <v>1130</v>
      </c>
      <c r="L42" s="46">
        <f t="shared" si="2"/>
        <v>0</v>
      </c>
      <c r="M42" s="26"/>
      <c r="N42" s="60"/>
      <c r="O42" s="26"/>
      <c r="P42" s="26"/>
      <c r="Q42" s="170" t="s">
        <v>351</v>
      </c>
      <c r="R42" s="28" t="s">
        <v>689</v>
      </c>
      <c r="S42" s="46">
        <f t="shared" si="3"/>
        <v>0</v>
      </c>
      <c r="U42" s="243" t="str">
        <f t="shared" si="8"/>
        <v>10</v>
      </c>
      <c r="V42" s="47">
        <f t="shared" si="5"/>
        <v>0</v>
      </c>
    </row>
    <row r="43" spans="10:22" s="54" customFormat="1" ht="18" customHeight="1">
      <c r="J43" s="322" t="s">
        <v>195</v>
      </c>
      <c r="K43" s="323"/>
      <c r="L43" s="217">
        <f>SUM(L20:L42)</f>
        <v>8</v>
      </c>
      <c r="M43" s="26"/>
      <c r="N43" s="60"/>
      <c r="O43" s="26"/>
      <c r="P43" s="26"/>
      <c r="Q43" s="322" t="s">
        <v>195</v>
      </c>
      <c r="R43" s="323"/>
      <c r="S43" s="217">
        <f>SUM(S36:S42)</f>
        <v>1</v>
      </c>
      <c r="U43" s="243" t="e">
        <f>MID(#REF!,5,2)</f>
        <v>#REF!</v>
      </c>
      <c r="V43" s="47" t="e">
        <f>U43*#REF!</f>
        <v>#REF!</v>
      </c>
    </row>
    <row r="44" spans="10:22" s="54" customFormat="1" ht="18" customHeight="1">
      <c r="J44" s="310" t="s">
        <v>200</v>
      </c>
      <c r="K44" s="311"/>
      <c r="L44" s="312"/>
      <c r="M44" s="26"/>
      <c r="N44" s="60"/>
      <c r="O44" s="26"/>
      <c r="P44" s="26"/>
      <c r="Q44" s="168"/>
      <c r="R44" s="60"/>
      <c r="S44" s="26"/>
      <c r="U44" s="244" t="s">
        <v>1162</v>
      </c>
      <c r="V44" s="245" t="e">
        <f>SUM(V19:V43)</f>
        <v>#REF!</v>
      </c>
    </row>
    <row r="45" spans="10:22" s="54" customFormat="1" ht="18" customHeight="1">
      <c r="J45" s="170" t="s">
        <v>747</v>
      </c>
      <c r="K45" s="25" t="s">
        <v>1070</v>
      </c>
      <c r="L45" s="46">
        <f t="shared" ref="L45:L55" si="9">SUMPRODUCT(($K$5:$K$16=K45)*($N$5:$N$16))</f>
        <v>0</v>
      </c>
      <c r="M45" s="26"/>
      <c r="N45" s="60"/>
      <c r="O45" s="26"/>
      <c r="P45" s="26"/>
      <c r="Q45" s="168"/>
      <c r="R45" s="60"/>
      <c r="S45" s="26"/>
    </row>
    <row r="46" spans="10:22" s="54" customFormat="1" ht="18" customHeight="1">
      <c r="J46" s="170" t="s">
        <v>748</v>
      </c>
      <c r="K46" s="25" t="s">
        <v>1071</v>
      </c>
      <c r="L46" s="46">
        <f t="shared" si="9"/>
        <v>0</v>
      </c>
      <c r="M46" s="26"/>
      <c r="N46" s="60"/>
      <c r="O46" s="26"/>
      <c r="P46" s="26"/>
      <c r="Q46" s="168"/>
      <c r="R46" s="60"/>
      <c r="S46" s="26"/>
    </row>
    <row r="47" spans="10:22" s="54" customFormat="1" ht="18" customHeight="1">
      <c r="J47" s="170" t="s">
        <v>341</v>
      </c>
      <c r="K47" s="25" t="s">
        <v>1072</v>
      </c>
      <c r="L47" s="46">
        <f t="shared" si="9"/>
        <v>0</v>
      </c>
      <c r="M47" s="26"/>
      <c r="N47" s="60"/>
      <c r="O47" s="26"/>
      <c r="P47" s="26"/>
      <c r="Q47" s="168"/>
      <c r="R47" s="60"/>
      <c r="S47" s="26"/>
    </row>
    <row r="48" spans="10:22" s="54" customFormat="1" ht="18" customHeight="1">
      <c r="J48" s="170" t="s">
        <v>342</v>
      </c>
      <c r="K48" s="25" t="s">
        <v>1073</v>
      </c>
      <c r="L48" s="46"/>
      <c r="M48" s="6"/>
      <c r="O48" s="6"/>
      <c r="P48" s="6"/>
    </row>
    <row r="49" spans="10:19" s="54" customFormat="1" ht="18" customHeight="1">
      <c r="J49" s="170" t="s">
        <v>341</v>
      </c>
      <c r="K49" s="25" t="s">
        <v>1074</v>
      </c>
      <c r="L49" s="46">
        <f t="shared" si="9"/>
        <v>0</v>
      </c>
    </row>
    <row r="50" spans="10:19" s="54" customFormat="1" ht="18" customHeight="1">
      <c r="J50" s="170" t="s">
        <v>342</v>
      </c>
      <c r="K50" s="25" t="s">
        <v>1075</v>
      </c>
      <c r="L50" s="46">
        <f t="shared" si="9"/>
        <v>0</v>
      </c>
    </row>
    <row r="51" spans="10:19" s="54" customFormat="1" ht="18" customHeight="1">
      <c r="J51" s="170" t="s">
        <v>343</v>
      </c>
      <c r="K51" s="25" t="s">
        <v>1076</v>
      </c>
      <c r="L51" s="46">
        <f t="shared" si="9"/>
        <v>0</v>
      </c>
    </row>
    <row r="52" spans="10:19" s="54" customFormat="1" ht="18" customHeight="1">
      <c r="J52" s="170" t="s">
        <v>344</v>
      </c>
      <c r="K52" s="25" t="s">
        <v>1077</v>
      </c>
      <c r="L52" s="46">
        <f t="shared" si="9"/>
        <v>0</v>
      </c>
    </row>
    <row r="53" spans="10:19" s="54" customFormat="1" ht="18" customHeight="1">
      <c r="J53" s="170" t="s">
        <v>345</v>
      </c>
      <c r="K53" s="25" t="s">
        <v>1078</v>
      </c>
      <c r="L53" s="46">
        <f t="shared" si="9"/>
        <v>0</v>
      </c>
    </row>
    <row r="54" spans="10:19" s="54" customFormat="1" ht="18" customHeight="1">
      <c r="J54" s="170" t="s">
        <v>346</v>
      </c>
      <c r="K54" s="25" t="s">
        <v>1079</v>
      </c>
      <c r="L54" s="46">
        <f t="shared" si="9"/>
        <v>0</v>
      </c>
    </row>
    <row r="55" spans="10:19" s="54" customFormat="1" ht="18" customHeight="1">
      <c r="J55" s="170" t="s">
        <v>347</v>
      </c>
      <c r="K55" s="25" t="s">
        <v>1080</v>
      </c>
      <c r="L55" s="46">
        <f t="shared" si="9"/>
        <v>0</v>
      </c>
    </row>
    <row r="56" spans="10:19" s="54" customFormat="1" ht="18" customHeight="1">
      <c r="J56" s="322" t="s">
        <v>195</v>
      </c>
      <c r="K56" s="323"/>
      <c r="L56" s="217">
        <f>SUM(L45:L55)</f>
        <v>0</v>
      </c>
      <c r="Q56" s="171"/>
      <c r="R56" s="58"/>
      <c r="S56" s="21"/>
    </row>
  </sheetData>
  <mergeCells count="22">
    <mergeCell ref="J56:K56"/>
    <mergeCell ref="Q35:S35"/>
    <mergeCell ref="Q34:R34"/>
    <mergeCell ref="Q43:R43"/>
    <mergeCell ref="J19:L19"/>
    <mergeCell ref="Q19:S19"/>
    <mergeCell ref="J43:K43"/>
    <mergeCell ref="J44:L44"/>
    <mergeCell ref="W3:W4"/>
    <mergeCell ref="V3:V4"/>
    <mergeCell ref="Q3:Q4"/>
    <mergeCell ref="B14:I14"/>
    <mergeCell ref="R3:R4"/>
    <mergeCell ref="K3:K4"/>
    <mergeCell ref="D3:E3"/>
    <mergeCell ref="H3:I3"/>
    <mergeCell ref="J3:J4"/>
    <mergeCell ref="A5:A9"/>
    <mergeCell ref="A3:A4"/>
    <mergeCell ref="B3:B4"/>
    <mergeCell ref="B9:I9"/>
    <mergeCell ref="F3:G3"/>
  </mergeCells>
  <phoneticPr fontId="3" type="noConversion"/>
  <dataValidations count="3">
    <dataValidation type="list" allowBlank="1" showInputMessage="1" showErrorMessage="1" sqref="R44:R65535 R5 R1:R2 R10:R18" xr:uid="{00000000-0002-0000-0500-000000000000}">
      <formula1>Mini실외기</formula1>
    </dataValidation>
    <dataValidation type="list" allowBlank="1" showInputMessage="1" showErrorMessage="1" sqref="K57:K65546 K20:K42 K1:K18" xr:uid="{00000000-0002-0000-0500-000001000000}">
      <formula1>M실내기</formula1>
    </dataValidation>
    <dataValidation type="list" allowBlank="1" showInputMessage="1" showErrorMessage="1" sqref="R3:R4" xr:uid="{00000000-0002-0000-0500-000002000000}">
      <formula1>Sp3실외기</formula1>
    </dataValidation>
  </dataValidations>
  <printOptions horizontalCentered="1"/>
  <pageMargins left="0.39370078740157483" right="0.39370078740157483" top="0.39370078740157483" bottom="0.39370078740157483" header="0" footer="0"/>
  <pageSetup paperSize="9" scale="75" orientation="landscape" r:id="rId1"/>
  <headerFooter alignWithMargins="0">
    <oddHeader>&amp;C&amp;"Calibri"&amp;12&amp;K000000 LGE Internal Use Only&amp;1#_x000D_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tabColor theme="8" tint="-0.499984740745262"/>
  </sheetPr>
  <dimension ref="A1:AA50"/>
  <sheetViews>
    <sheetView showGridLines="0" topLeftCell="F13" zoomScaleNormal="100" zoomScaleSheetLayoutView="90" workbookViewId="0">
      <selection activeCell="R51" sqref="R51"/>
    </sheetView>
  </sheetViews>
  <sheetFormatPr defaultRowHeight="18" customHeight="1"/>
  <cols>
    <col min="1" max="1" width="7" style="23" customWidth="1"/>
    <col min="2" max="2" width="15.109375" style="23" customWidth="1"/>
    <col min="3" max="7" width="7" style="22" customWidth="1"/>
    <col min="8" max="9" width="8.109375" style="22" customWidth="1"/>
    <col min="10" max="10" width="5" style="171" customWidth="1"/>
    <col min="11" max="11" width="12.21875" style="23" customWidth="1"/>
    <col min="12" max="13" width="10.109375" style="21" customWidth="1"/>
    <col min="14" max="14" width="4.44140625" style="20" customWidth="1"/>
    <col min="15" max="16" width="10.109375" style="21" customWidth="1"/>
    <col min="17" max="17" width="5" style="178" customWidth="1"/>
    <col min="18" max="18" width="12.21875" style="20" customWidth="1"/>
    <col min="19" max="20" width="10.109375" style="21" customWidth="1"/>
    <col min="21" max="21" width="4.44140625" style="21" customWidth="1"/>
    <col min="22" max="22" width="7.109375" style="20" customWidth="1"/>
    <col min="23" max="23" width="6.6640625" style="20" customWidth="1"/>
    <col min="24" max="16384" width="8.88671875" style="20"/>
  </cols>
  <sheetData>
    <row r="1" spans="1:27" s="27" customFormat="1" ht="22.5" customHeight="1">
      <c r="A1" s="1" t="s">
        <v>95</v>
      </c>
      <c r="B1" s="30"/>
      <c r="C1" s="78"/>
      <c r="D1" s="78"/>
      <c r="E1" s="78"/>
      <c r="F1" s="78"/>
      <c r="G1" s="78"/>
      <c r="H1" s="78"/>
      <c r="I1" s="78"/>
      <c r="J1" s="181"/>
      <c r="K1" s="30"/>
      <c r="L1" s="79"/>
      <c r="M1" s="79"/>
      <c r="O1" s="79"/>
      <c r="P1" s="79"/>
      <c r="Q1" s="176"/>
      <c r="S1" s="26"/>
      <c r="T1" s="26"/>
      <c r="U1" s="26"/>
      <c r="X1" s="80"/>
      <c r="Y1" s="80"/>
      <c r="Z1" s="80"/>
      <c r="AA1" s="80"/>
    </row>
    <row r="2" spans="1:27" s="5" customFormat="1" ht="11.25" customHeight="1">
      <c r="A2" s="2"/>
      <c r="B2" s="2"/>
      <c r="C2" s="8"/>
      <c r="D2" s="8"/>
      <c r="E2" s="8"/>
      <c r="F2" s="8"/>
      <c r="G2" s="8"/>
      <c r="H2" s="8"/>
      <c r="I2" s="8"/>
      <c r="J2" s="166"/>
      <c r="K2" s="2"/>
      <c r="L2" s="6"/>
      <c r="M2" s="6"/>
      <c r="O2" s="6"/>
      <c r="P2" s="6"/>
      <c r="Q2" s="172"/>
      <c r="S2" s="6"/>
      <c r="T2" s="6"/>
      <c r="U2" s="6"/>
      <c r="V2" s="9"/>
      <c r="W2" s="9" t="s">
        <v>3</v>
      </c>
      <c r="X2" s="7"/>
      <c r="Y2" s="7"/>
      <c r="Z2" s="7"/>
      <c r="AA2" s="7"/>
    </row>
    <row r="3" spans="1:27" s="5" customFormat="1" ht="18" customHeight="1">
      <c r="A3" s="320" t="s">
        <v>50</v>
      </c>
      <c r="B3" s="320" t="s">
        <v>51</v>
      </c>
      <c r="C3" s="218" t="s">
        <v>52</v>
      </c>
      <c r="D3" s="315" t="s">
        <v>53</v>
      </c>
      <c r="E3" s="315"/>
      <c r="F3" s="315" t="s">
        <v>54</v>
      </c>
      <c r="G3" s="315"/>
      <c r="H3" s="316" t="s">
        <v>98</v>
      </c>
      <c r="I3" s="316"/>
      <c r="J3" s="318" t="s">
        <v>307</v>
      </c>
      <c r="K3" s="306" t="s">
        <v>55</v>
      </c>
      <c r="L3" s="219" t="s">
        <v>56</v>
      </c>
      <c r="M3" s="219" t="s">
        <v>57</v>
      </c>
      <c r="N3" s="220" t="s">
        <v>58</v>
      </c>
      <c r="O3" s="219" t="s">
        <v>59</v>
      </c>
      <c r="P3" s="219" t="s">
        <v>60</v>
      </c>
      <c r="Q3" s="318" t="s">
        <v>307</v>
      </c>
      <c r="R3" s="306" t="s">
        <v>61</v>
      </c>
      <c r="S3" s="219" t="s">
        <v>62</v>
      </c>
      <c r="T3" s="219" t="s">
        <v>63</v>
      </c>
      <c r="U3" s="219" t="s">
        <v>58</v>
      </c>
      <c r="V3" s="317" t="s">
        <v>64</v>
      </c>
      <c r="W3" s="317" t="s">
        <v>65</v>
      </c>
    </row>
    <row r="4" spans="1:27" s="5" customFormat="1" ht="18" customHeight="1">
      <c r="A4" s="320"/>
      <c r="B4" s="320"/>
      <c r="C4" s="218" t="s">
        <v>66</v>
      </c>
      <c r="D4" s="218" t="s">
        <v>67</v>
      </c>
      <c r="E4" s="218" t="s">
        <v>68</v>
      </c>
      <c r="F4" s="218" t="s">
        <v>67</v>
      </c>
      <c r="G4" s="218" t="s">
        <v>68</v>
      </c>
      <c r="H4" s="221" t="s">
        <v>99</v>
      </c>
      <c r="I4" s="221" t="s">
        <v>100</v>
      </c>
      <c r="J4" s="319"/>
      <c r="K4" s="306"/>
      <c r="L4" s="219" t="s">
        <v>69</v>
      </c>
      <c r="M4" s="219" t="s">
        <v>69</v>
      </c>
      <c r="N4" s="220" t="s">
        <v>70</v>
      </c>
      <c r="O4" s="219" t="s">
        <v>69</v>
      </c>
      <c r="P4" s="219" t="s">
        <v>69</v>
      </c>
      <c r="Q4" s="319"/>
      <c r="R4" s="306"/>
      <c r="S4" s="219" t="s">
        <v>69</v>
      </c>
      <c r="T4" s="219" t="s">
        <v>69</v>
      </c>
      <c r="U4" s="219" t="s">
        <v>70</v>
      </c>
      <c r="V4" s="317"/>
      <c r="W4" s="317"/>
    </row>
    <row r="5" spans="1:27" s="5" customFormat="1" ht="18" customHeight="1">
      <c r="A5" s="300" t="s">
        <v>117</v>
      </c>
      <c r="B5" s="105" t="s">
        <v>118</v>
      </c>
      <c r="C5" s="10">
        <v>20</v>
      </c>
      <c r="D5" s="11">
        <v>140</v>
      </c>
      <c r="E5" s="11">
        <f>D5</f>
        <v>140</v>
      </c>
      <c r="F5" s="12">
        <f>D5/0.86</f>
        <v>162.7906976744186</v>
      </c>
      <c r="G5" s="12">
        <f>E5/0.86</f>
        <v>162.7906976744186</v>
      </c>
      <c r="H5" s="13">
        <f>C5*F5</f>
        <v>3255.8139534883721</v>
      </c>
      <c r="I5" s="13">
        <f>C5*G5</f>
        <v>3255.8139534883721</v>
      </c>
      <c r="J5" s="167" t="str">
        <f>INDEX($J$27:$J$49,MATCH(K5,$K$27:$K$49,0))</f>
        <v>40C</v>
      </c>
      <c r="K5" s="25" t="s">
        <v>194</v>
      </c>
      <c r="L5" s="156">
        <f>IF(ISERROR(VLOOKUP(K5,LG제품!$A$3:$C$271,2,0)),,VLOOKUP(K5,LG제품!$A$3:$C$271,2,0))</f>
        <v>4000</v>
      </c>
      <c r="M5" s="156">
        <f>IF(ISERROR(VLOOKUP(K5,LG제품!$A$3:$C$271,3,0)),,VLOOKUP(K5,LG제품!$A$3:$C$271,3,0))</f>
        <v>4500</v>
      </c>
      <c r="N5" s="39">
        <v>3</v>
      </c>
      <c r="O5" s="156">
        <f>L5*N5</f>
        <v>12000</v>
      </c>
      <c r="P5" s="156">
        <f>M5*N5</f>
        <v>13500</v>
      </c>
      <c r="Q5" s="173">
        <f>SUMIF($R$26:$R$45,$R5,$Q$26:$Q$45)</f>
        <v>18</v>
      </c>
      <c r="R5" s="108" t="s">
        <v>1097</v>
      </c>
      <c r="S5" s="13">
        <f>IF(ISERROR(VLOOKUP(R5,LG제품!$I$43:$K$64,2,0)),,VLOOKUP(R5,LG제품!$I$43:$K$64,2,0))</f>
        <v>50400</v>
      </c>
      <c r="T5" s="13">
        <f>IF(ISERROR(VLOOKUP(R5,LG제품!$I$43:$K$64,3,0)),,VLOOKUP(R5,LG제품!$I$43:$K$64,3,0))</f>
        <v>56700</v>
      </c>
      <c r="U5" s="72">
        <v>1</v>
      </c>
      <c r="V5" s="75">
        <f>O7/S5</f>
        <v>0.35714285714285715</v>
      </c>
      <c r="W5" s="61"/>
    </row>
    <row r="6" spans="1:27" s="5" customFormat="1" ht="18" customHeight="1">
      <c r="A6" s="301"/>
      <c r="B6" s="39" t="s">
        <v>130</v>
      </c>
      <c r="C6" s="14">
        <v>5.4</v>
      </c>
      <c r="D6" s="15">
        <v>150</v>
      </c>
      <c r="E6" s="11">
        <f>D6</f>
        <v>150</v>
      </c>
      <c r="F6" s="12">
        <f>D6/0.86</f>
        <v>174.41860465116278</v>
      </c>
      <c r="G6" s="12">
        <f>E6/0.86</f>
        <v>174.41860465116278</v>
      </c>
      <c r="H6" s="13">
        <f>C6*F6</f>
        <v>941.8604651162791</v>
      </c>
      <c r="I6" s="13">
        <f>C6*G6</f>
        <v>941.8604651162791</v>
      </c>
      <c r="J6" s="167" t="str">
        <f>INDEX($J$27:$J$49,MATCH(K6,$K$27:$K$49,0))</f>
        <v>20C</v>
      </c>
      <c r="K6" s="25" t="s">
        <v>300</v>
      </c>
      <c r="L6" s="156">
        <f>IF(ISERROR(VLOOKUP(K6,LG제품!$A$3:$C$271,2,0)),,VLOOKUP(K6,LG제품!$A$3:$C$271,2,0))</f>
        <v>2000</v>
      </c>
      <c r="M6" s="156">
        <f>IF(ISERROR(VLOOKUP(K6,LG제품!$A$3:$C$271,3,0)),,VLOOKUP(K6,LG제품!$A$3:$C$271,3,0))</f>
        <v>2200</v>
      </c>
      <c r="N6" s="39">
        <v>3</v>
      </c>
      <c r="O6" s="156">
        <f>L6*N6</f>
        <v>6000</v>
      </c>
      <c r="P6" s="156">
        <f>M6*N6</f>
        <v>6600</v>
      </c>
      <c r="Q6" s="174"/>
      <c r="R6" s="109"/>
      <c r="S6" s="64"/>
      <c r="T6" s="64"/>
      <c r="U6" s="73"/>
      <c r="V6" s="76"/>
      <c r="W6" s="62"/>
    </row>
    <row r="7" spans="1:27" s="5" customFormat="1" ht="18" customHeight="1">
      <c r="A7" s="301"/>
      <c r="B7" s="321" t="s">
        <v>131</v>
      </c>
      <c r="C7" s="321"/>
      <c r="D7" s="321"/>
      <c r="E7" s="321"/>
      <c r="F7" s="321"/>
      <c r="G7" s="321"/>
      <c r="H7" s="321"/>
      <c r="I7" s="321"/>
      <c r="J7" s="222"/>
      <c r="K7" s="223"/>
      <c r="L7" s="224"/>
      <c r="M7" s="224"/>
      <c r="N7" s="210">
        <f>SUM(N5:N6)</f>
        <v>6</v>
      </c>
      <c r="O7" s="224">
        <f>SUM(O5:O6)</f>
        <v>18000</v>
      </c>
      <c r="P7" s="224">
        <f>SUM(P5:P6)</f>
        <v>20100</v>
      </c>
      <c r="Q7" s="175"/>
      <c r="R7" s="110"/>
      <c r="S7" s="65"/>
      <c r="T7" s="65"/>
      <c r="U7" s="74"/>
      <c r="V7" s="77"/>
      <c r="W7" s="63"/>
    </row>
    <row r="8" spans="1:27" s="5" customFormat="1" ht="18" customHeight="1">
      <c r="A8" s="300" t="s">
        <v>132</v>
      </c>
      <c r="B8" s="39" t="s">
        <v>133</v>
      </c>
      <c r="C8" s="14">
        <v>97.5</v>
      </c>
      <c r="D8" s="155">
        <v>180</v>
      </c>
      <c r="E8" s="11">
        <f>D8</f>
        <v>180</v>
      </c>
      <c r="F8" s="12">
        <f t="shared" ref="F8:G12" si="0">D8/0.86</f>
        <v>209.30232558139537</v>
      </c>
      <c r="G8" s="12">
        <f t="shared" si="0"/>
        <v>209.30232558139537</v>
      </c>
      <c r="H8" s="13">
        <f>C8*F8</f>
        <v>20406.976744186049</v>
      </c>
      <c r="I8" s="13">
        <f>C8*G8</f>
        <v>20406.976744186049</v>
      </c>
      <c r="J8" s="167" t="str">
        <f>INDEX($J$27:$J$49,MATCH(K8,$K$27:$K$49,0))</f>
        <v>60T</v>
      </c>
      <c r="K8" s="25" t="s">
        <v>1124</v>
      </c>
      <c r="L8" s="156">
        <f>IF(ISERROR(VLOOKUP(K8,LG제품!$A$3:$C$271,2,0)),,VLOOKUP(K8,LG제품!$A$3:$C$271,2,0))</f>
        <v>6000</v>
      </c>
      <c r="M8" s="156">
        <f>IF(ISERROR(VLOOKUP(K8,LG제품!$A$3:$C$271,3,0)),,VLOOKUP(K8,LG제품!$A$3:$C$271,3,0))</f>
        <v>6800</v>
      </c>
      <c r="N8" s="39">
        <v>2</v>
      </c>
      <c r="O8" s="156">
        <f>L8*N8</f>
        <v>12000</v>
      </c>
      <c r="P8" s="156">
        <f>M8*N8</f>
        <v>13600</v>
      </c>
      <c r="Q8" s="173">
        <f>SUMIF($R$26:$R$45,$R8,$Q$26:$Q$45)</f>
        <v>18</v>
      </c>
      <c r="R8" s="108" t="s">
        <v>1097</v>
      </c>
      <c r="S8" s="13">
        <f>IF(ISERROR(VLOOKUP(R8,LG제품!$I$43:$K$64,2,0)),,VLOOKUP(R8,LG제품!$I$43:$K$64,2,0))</f>
        <v>50400</v>
      </c>
      <c r="T8" s="13">
        <f>IF(ISERROR(VLOOKUP(R8,LG제품!$I$43:$K$64,3,0)),,VLOOKUP(R8,LG제품!$I$43:$K$64,3,0))</f>
        <v>56700</v>
      </c>
      <c r="U8" s="72">
        <v>1</v>
      </c>
      <c r="V8" s="75">
        <f>O13/S8</f>
        <v>0.83333333333333337</v>
      </c>
      <c r="W8" s="61"/>
    </row>
    <row r="9" spans="1:27" s="5" customFormat="1" ht="18" customHeight="1">
      <c r="A9" s="301"/>
      <c r="B9" s="39" t="s">
        <v>134</v>
      </c>
      <c r="C9" s="14">
        <v>30.6</v>
      </c>
      <c r="D9" s="15">
        <v>150</v>
      </c>
      <c r="E9" s="11">
        <f>D9</f>
        <v>150</v>
      </c>
      <c r="F9" s="12">
        <f t="shared" si="0"/>
        <v>174.41860465116278</v>
      </c>
      <c r="G9" s="12">
        <f t="shared" si="0"/>
        <v>174.41860465116278</v>
      </c>
      <c r="H9" s="13">
        <f>C9*F9</f>
        <v>5337.2093023255811</v>
      </c>
      <c r="I9" s="13">
        <f>C9*G9</f>
        <v>5337.2093023255811</v>
      </c>
      <c r="J9" s="167" t="str">
        <f>INDEX($J$27:$J$49,MATCH(K9,$K$27:$K$49,0))</f>
        <v>60T</v>
      </c>
      <c r="K9" s="25" t="s">
        <v>1124</v>
      </c>
      <c r="L9" s="156">
        <f>IF(ISERROR(VLOOKUP(K9,LG제품!$A$3:$C$271,2,0)),,VLOOKUP(K9,LG제품!$A$3:$C$271,2,0))</f>
        <v>6000</v>
      </c>
      <c r="M9" s="156">
        <f>IF(ISERROR(VLOOKUP(K9,LG제품!$A$3:$C$271,3,0)),,VLOOKUP(K9,LG제품!$A$3:$C$271,3,0))</f>
        <v>6800</v>
      </c>
      <c r="N9" s="39">
        <v>1</v>
      </c>
      <c r="O9" s="156">
        <f>L9*N9</f>
        <v>6000</v>
      </c>
      <c r="P9" s="156">
        <f>M9*N9</f>
        <v>6800</v>
      </c>
      <c r="Q9" s="174"/>
      <c r="R9" s="109"/>
      <c r="S9" s="64"/>
      <c r="T9" s="64"/>
      <c r="U9" s="73"/>
      <c r="V9" s="76"/>
      <c r="W9" s="62"/>
    </row>
    <row r="10" spans="1:27" s="5" customFormat="1" ht="18" customHeight="1">
      <c r="A10" s="301"/>
      <c r="B10" s="39" t="s">
        <v>134</v>
      </c>
      <c r="C10" s="14">
        <v>27</v>
      </c>
      <c r="D10" s="15">
        <v>150</v>
      </c>
      <c r="E10" s="11">
        <f>D10</f>
        <v>150</v>
      </c>
      <c r="F10" s="12">
        <f t="shared" si="0"/>
        <v>174.41860465116278</v>
      </c>
      <c r="G10" s="12">
        <f t="shared" si="0"/>
        <v>174.41860465116278</v>
      </c>
      <c r="H10" s="13">
        <f>C10*F10</f>
        <v>4709.3023255813951</v>
      </c>
      <c r="I10" s="13">
        <f>C10*G10</f>
        <v>4709.3023255813951</v>
      </c>
      <c r="J10" s="167" t="str">
        <f>INDEX($J$27:$J$49,MATCH(K10,$K$27:$K$49,0))</f>
        <v>60T</v>
      </c>
      <c r="K10" s="25" t="s">
        <v>1124</v>
      </c>
      <c r="L10" s="156">
        <f>IF(ISERROR(VLOOKUP(K10,LG제품!$A$3:$C$271,2,0)),,VLOOKUP(K10,LG제품!$A$3:$C$271,2,0))</f>
        <v>6000</v>
      </c>
      <c r="M10" s="156">
        <f>IF(ISERROR(VLOOKUP(K10,LG제품!$A$3:$C$271,3,0)),,VLOOKUP(K10,LG제품!$A$3:$C$271,3,0))</f>
        <v>6800</v>
      </c>
      <c r="N10" s="39">
        <v>1</v>
      </c>
      <c r="O10" s="156">
        <f>L10*N10</f>
        <v>6000</v>
      </c>
      <c r="P10" s="156">
        <f>M10*N10</f>
        <v>6800</v>
      </c>
      <c r="Q10" s="174"/>
      <c r="R10" s="109"/>
      <c r="S10" s="64"/>
      <c r="T10" s="64"/>
      <c r="U10" s="73"/>
      <c r="V10" s="76"/>
      <c r="W10" s="62"/>
    </row>
    <row r="11" spans="1:27" s="5" customFormat="1" ht="18" customHeight="1">
      <c r="A11" s="301"/>
      <c r="B11" s="39" t="s">
        <v>135</v>
      </c>
      <c r="C11" s="14">
        <v>99</v>
      </c>
      <c r="D11" s="15">
        <v>180</v>
      </c>
      <c r="E11" s="11">
        <f>D11</f>
        <v>180</v>
      </c>
      <c r="F11" s="12">
        <f t="shared" si="0"/>
        <v>209.30232558139537</v>
      </c>
      <c r="G11" s="12">
        <f t="shared" si="0"/>
        <v>209.30232558139537</v>
      </c>
      <c r="H11" s="13">
        <f>C11*F11</f>
        <v>20720.930232558141</v>
      </c>
      <c r="I11" s="13">
        <f>C11*G11</f>
        <v>20720.930232558141</v>
      </c>
      <c r="J11" s="167" t="str">
        <f>INDEX($J$27:$J$49,MATCH(K11,$K$27:$K$49,0))</f>
        <v>60T</v>
      </c>
      <c r="K11" s="25" t="s">
        <v>1124</v>
      </c>
      <c r="L11" s="156">
        <f>IF(ISERROR(VLOOKUP(K11,LG제품!$A$3:$C$271,2,0)),,VLOOKUP(K11,LG제품!$A$3:$C$271,2,0))</f>
        <v>6000</v>
      </c>
      <c r="M11" s="156">
        <f>IF(ISERROR(VLOOKUP(K11,LG제품!$A$3:$C$271,3,0)),,VLOOKUP(K11,LG제품!$A$3:$C$271,3,0))</f>
        <v>6800</v>
      </c>
      <c r="N11" s="39">
        <v>2</v>
      </c>
      <c r="O11" s="156">
        <f>L11*N11</f>
        <v>12000</v>
      </c>
      <c r="P11" s="156">
        <f>M11*N11</f>
        <v>13600</v>
      </c>
      <c r="Q11" s="174"/>
      <c r="R11" s="109"/>
      <c r="S11" s="64"/>
      <c r="T11" s="64"/>
      <c r="U11" s="73"/>
      <c r="V11" s="76"/>
      <c r="W11" s="62"/>
    </row>
    <row r="12" spans="1:27" s="5" customFormat="1" ht="18" customHeight="1">
      <c r="A12" s="301"/>
      <c r="B12" s="39" t="s">
        <v>136</v>
      </c>
      <c r="C12" s="14">
        <v>22.2</v>
      </c>
      <c r="D12" s="15">
        <v>150</v>
      </c>
      <c r="E12" s="11">
        <f>D12</f>
        <v>150</v>
      </c>
      <c r="F12" s="12">
        <f t="shared" si="0"/>
        <v>174.41860465116278</v>
      </c>
      <c r="G12" s="12">
        <f t="shared" si="0"/>
        <v>174.41860465116278</v>
      </c>
      <c r="H12" s="13">
        <f>C12*F12</f>
        <v>3872.0930232558135</v>
      </c>
      <c r="I12" s="13">
        <f>C12*G12</f>
        <v>3872.0930232558135</v>
      </c>
      <c r="J12" s="167" t="str">
        <f>INDEX($J$27:$J$49,MATCH(K12,$K$27:$K$49,0))</f>
        <v>60T</v>
      </c>
      <c r="K12" s="25" t="s">
        <v>1124</v>
      </c>
      <c r="L12" s="156">
        <f>IF(ISERROR(VLOOKUP(K12,LG제품!$A$3:$C$271,2,0)),,VLOOKUP(K12,LG제품!$A$3:$C$271,2,0))</f>
        <v>6000</v>
      </c>
      <c r="M12" s="156">
        <f>IF(ISERROR(VLOOKUP(K12,LG제품!$A$3:$C$271,3,0)),,VLOOKUP(K12,LG제품!$A$3:$C$271,3,0))</f>
        <v>6800</v>
      </c>
      <c r="N12" s="39">
        <v>1</v>
      </c>
      <c r="O12" s="156">
        <f>L12*N12</f>
        <v>6000</v>
      </c>
      <c r="P12" s="156">
        <f>M12*N12</f>
        <v>6800</v>
      </c>
      <c r="Q12" s="174"/>
      <c r="R12" s="109"/>
      <c r="S12" s="64"/>
      <c r="T12" s="64"/>
      <c r="U12" s="73"/>
      <c r="V12" s="76"/>
      <c r="W12" s="62"/>
    </row>
    <row r="13" spans="1:27" s="5" customFormat="1" ht="18" customHeight="1">
      <c r="A13" s="301"/>
      <c r="B13" s="321" t="s">
        <v>131</v>
      </c>
      <c r="C13" s="321"/>
      <c r="D13" s="321"/>
      <c r="E13" s="321"/>
      <c r="F13" s="321"/>
      <c r="G13" s="321"/>
      <c r="H13" s="321"/>
      <c r="I13" s="321"/>
      <c r="J13" s="222"/>
      <c r="K13" s="223"/>
      <c r="L13" s="224"/>
      <c r="M13" s="224"/>
      <c r="N13" s="210">
        <f>SUM(N8:N12)</f>
        <v>7</v>
      </c>
      <c r="O13" s="224">
        <f>SUM(O8:O12)</f>
        <v>42000</v>
      </c>
      <c r="P13" s="224">
        <f>SUM(P8:P12)</f>
        <v>47600</v>
      </c>
      <c r="Q13" s="175"/>
      <c r="R13" s="110"/>
      <c r="S13" s="65"/>
      <c r="T13" s="65"/>
      <c r="U13" s="74"/>
      <c r="V13" s="77"/>
      <c r="W13" s="63"/>
    </row>
    <row r="14" spans="1:27" s="16" customFormat="1" ht="18" customHeight="1">
      <c r="A14" s="301"/>
      <c r="B14" s="39" t="s">
        <v>137</v>
      </c>
      <c r="C14" s="14">
        <v>64.8</v>
      </c>
      <c r="D14" s="15">
        <v>180</v>
      </c>
      <c r="E14" s="11">
        <f>D14</f>
        <v>180</v>
      </c>
      <c r="F14" s="12">
        <f t="shared" ref="F14:G18" si="1">D14/0.86</f>
        <v>209.30232558139537</v>
      </c>
      <c r="G14" s="12">
        <f t="shared" si="1"/>
        <v>209.30232558139537</v>
      </c>
      <c r="H14" s="13">
        <f>C14*F14</f>
        <v>13562.79069767442</v>
      </c>
      <c r="I14" s="13">
        <f>C14*G14</f>
        <v>13562.79069767442</v>
      </c>
      <c r="J14" s="167" t="str">
        <f>INDEX($J$27:$J$49,MATCH(K14,$K$27:$K$49,0))</f>
        <v>60T</v>
      </c>
      <c r="K14" s="25" t="s">
        <v>1124</v>
      </c>
      <c r="L14" s="156">
        <f>IF(ISERROR(VLOOKUP(K14,LG제품!$A$3:$C$271,2,0)),,VLOOKUP(K14,LG제품!$A$3:$C$271,2,0))</f>
        <v>6000</v>
      </c>
      <c r="M14" s="156">
        <f>IF(ISERROR(VLOOKUP(K14,LG제품!$A$3:$C$271,3,0)),,VLOOKUP(K14,LG제품!$A$3:$C$271,3,0))</f>
        <v>6800</v>
      </c>
      <c r="N14" s="39">
        <v>1</v>
      </c>
      <c r="O14" s="157">
        <f>L14*N14</f>
        <v>6000</v>
      </c>
      <c r="P14" s="157">
        <f>M14*N14</f>
        <v>6800</v>
      </c>
      <c r="Q14" s="173">
        <f>SUMIF($R$26:$R$45,$R14,$Q$26:$Q$45)</f>
        <v>12</v>
      </c>
      <c r="R14" s="108" t="s">
        <v>961</v>
      </c>
      <c r="S14" s="13">
        <f>IF(ISERROR(VLOOKUP(R14,LG제품!$I$43:$K$64,2,0)),,VLOOKUP(R14,LG제품!$I$43:$K$64,2,0))</f>
        <v>33600</v>
      </c>
      <c r="T14" s="13">
        <f>IF(ISERROR(VLOOKUP(R14,LG제품!$I$43:$K$64,3,0)),,VLOOKUP(R14,LG제품!$I$43:$K$64,3,0))</f>
        <v>37800</v>
      </c>
      <c r="U14" s="72">
        <v>1</v>
      </c>
      <c r="V14" s="75">
        <f>O19/S14</f>
        <v>0.8928571428571429</v>
      </c>
      <c r="W14" s="61"/>
    </row>
    <row r="15" spans="1:27" s="16" customFormat="1" ht="18" customHeight="1">
      <c r="A15" s="301"/>
      <c r="B15" s="39" t="s">
        <v>138</v>
      </c>
      <c r="C15" s="14">
        <v>16.899999999999999</v>
      </c>
      <c r="D15" s="15">
        <v>150</v>
      </c>
      <c r="E15" s="11">
        <f>D15</f>
        <v>150</v>
      </c>
      <c r="F15" s="12">
        <f t="shared" si="1"/>
        <v>174.41860465116278</v>
      </c>
      <c r="G15" s="12">
        <f t="shared" si="1"/>
        <v>174.41860465116278</v>
      </c>
      <c r="H15" s="13">
        <f>C15*F15</f>
        <v>2947.6744186046508</v>
      </c>
      <c r="I15" s="13">
        <f>C15*G15</f>
        <v>2947.6744186046508</v>
      </c>
      <c r="J15" s="167" t="str">
        <f>INDEX($J$27:$J$49,MATCH(K15,$K$27:$K$49,0))</f>
        <v>60T</v>
      </c>
      <c r="K15" s="25" t="s">
        <v>1124</v>
      </c>
      <c r="L15" s="156">
        <f>IF(ISERROR(VLOOKUP(K15,LG제품!$A$3:$C$271,2,0)),,VLOOKUP(K15,LG제품!$A$3:$C$271,2,0))</f>
        <v>6000</v>
      </c>
      <c r="M15" s="156">
        <f>IF(ISERROR(VLOOKUP(K15,LG제품!$A$3:$C$271,3,0)),,VLOOKUP(K15,LG제품!$A$3:$C$271,3,0))</f>
        <v>6800</v>
      </c>
      <c r="N15" s="39">
        <v>1</v>
      </c>
      <c r="O15" s="157">
        <f>L15*N15</f>
        <v>6000</v>
      </c>
      <c r="P15" s="157">
        <f>M15*N15</f>
        <v>6800</v>
      </c>
      <c r="Q15" s="174"/>
      <c r="R15" s="109"/>
      <c r="S15" s="64"/>
      <c r="T15" s="64"/>
      <c r="U15" s="73"/>
      <c r="V15" s="76"/>
      <c r="W15" s="62"/>
    </row>
    <row r="16" spans="1:27" s="16" customFormat="1" ht="18" customHeight="1">
      <c r="A16" s="301"/>
      <c r="B16" s="39" t="s">
        <v>139</v>
      </c>
      <c r="C16" s="14">
        <v>66.2</v>
      </c>
      <c r="D16" s="15">
        <v>160</v>
      </c>
      <c r="E16" s="11">
        <f>D16</f>
        <v>160</v>
      </c>
      <c r="F16" s="12">
        <f t="shared" si="1"/>
        <v>186.04651162790697</v>
      </c>
      <c r="G16" s="12">
        <f t="shared" si="1"/>
        <v>186.04651162790697</v>
      </c>
      <c r="H16" s="13">
        <f>C16*F16</f>
        <v>12316.279069767441</v>
      </c>
      <c r="I16" s="13">
        <f>C16*G16</f>
        <v>12316.279069767441</v>
      </c>
      <c r="J16" s="167" t="str">
        <f>INDEX($J$27:$J$49,MATCH(K16,$K$27:$K$49,0))</f>
        <v>60T</v>
      </c>
      <c r="K16" s="25" t="s">
        <v>1124</v>
      </c>
      <c r="L16" s="156">
        <f>IF(ISERROR(VLOOKUP(K16,LG제품!$A$3:$C$271,2,0)),,VLOOKUP(K16,LG제품!$A$3:$C$271,2,0))</f>
        <v>6000</v>
      </c>
      <c r="M16" s="156">
        <f>IF(ISERROR(VLOOKUP(K16,LG제품!$A$3:$C$271,3,0)),,VLOOKUP(K16,LG제품!$A$3:$C$271,3,0))</f>
        <v>6800</v>
      </c>
      <c r="N16" s="39">
        <v>1</v>
      </c>
      <c r="O16" s="157">
        <f>L16*N16</f>
        <v>6000</v>
      </c>
      <c r="P16" s="157">
        <f>M16*N16</f>
        <v>6800</v>
      </c>
      <c r="Q16" s="174"/>
      <c r="R16" s="109"/>
      <c r="S16" s="64"/>
      <c r="T16" s="64"/>
      <c r="U16" s="73"/>
      <c r="V16" s="76"/>
      <c r="W16" s="62"/>
    </row>
    <row r="17" spans="1:23" s="17" customFormat="1" ht="18" customHeight="1">
      <c r="A17" s="301"/>
      <c r="B17" s="39" t="s">
        <v>140</v>
      </c>
      <c r="C17" s="14">
        <v>32.200000000000003</v>
      </c>
      <c r="D17" s="15">
        <v>170</v>
      </c>
      <c r="E17" s="11">
        <f>D17</f>
        <v>170</v>
      </c>
      <c r="F17" s="12">
        <f t="shared" si="1"/>
        <v>197.67441860465118</v>
      </c>
      <c r="G17" s="12">
        <f t="shared" si="1"/>
        <v>197.67441860465118</v>
      </c>
      <c r="H17" s="13">
        <f>C17*F17</f>
        <v>6365.116279069769</v>
      </c>
      <c r="I17" s="13">
        <f>C17*G17</f>
        <v>6365.116279069769</v>
      </c>
      <c r="J17" s="167" t="str">
        <f>INDEX($J$27:$J$49,MATCH(K17,$K$27:$K$49,0))</f>
        <v>60T</v>
      </c>
      <c r="K17" s="25" t="s">
        <v>1124</v>
      </c>
      <c r="L17" s="156">
        <f>IF(ISERROR(VLOOKUP(K17,LG제품!$A$3:$C$271,2,0)),,VLOOKUP(K17,LG제품!$A$3:$C$271,2,0))</f>
        <v>6000</v>
      </c>
      <c r="M17" s="156">
        <f>IF(ISERROR(VLOOKUP(K17,LG제품!$A$3:$C$271,3,0)),,VLOOKUP(K17,LG제품!$A$3:$C$271,3,0))</f>
        <v>6800</v>
      </c>
      <c r="N17" s="39">
        <v>1</v>
      </c>
      <c r="O17" s="157">
        <f>L17*N17</f>
        <v>6000</v>
      </c>
      <c r="P17" s="157">
        <f>M17*N17</f>
        <v>6800</v>
      </c>
      <c r="Q17" s="174"/>
      <c r="R17" s="109"/>
      <c r="S17" s="64"/>
      <c r="T17" s="64"/>
      <c r="U17" s="73"/>
      <c r="V17" s="76"/>
      <c r="W17" s="62"/>
    </row>
    <row r="18" spans="1:23" s="17" customFormat="1" ht="18" customHeight="1">
      <c r="A18" s="301"/>
      <c r="B18" s="39" t="s">
        <v>141</v>
      </c>
      <c r="C18" s="14">
        <v>65.2</v>
      </c>
      <c r="D18" s="15">
        <v>170</v>
      </c>
      <c r="E18" s="11">
        <f>D18</f>
        <v>170</v>
      </c>
      <c r="F18" s="12">
        <f t="shared" si="1"/>
        <v>197.67441860465118</v>
      </c>
      <c r="G18" s="12">
        <f t="shared" si="1"/>
        <v>197.67441860465118</v>
      </c>
      <c r="H18" s="13">
        <f>C18*F18</f>
        <v>12888.372093023258</v>
      </c>
      <c r="I18" s="13">
        <f>C18*G18</f>
        <v>12888.372093023258</v>
      </c>
      <c r="J18" s="167" t="str">
        <f>INDEX($J$27:$J$49,MATCH(K18,$K$27:$K$49,0))</f>
        <v>60T</v>
      </c>
      <c r="K18" s="25" t="s">
        <v>1124</v>
      </c>
      <c r="L18" s="156">
        <f>IF(ISERROR(VLOOKUP(K18,LG제품!$A$3:$C$271,2,0)),,VLOOKUP(K18,LG제품!$A$3:$C$271,2,0))</f>
        <v>6000</v>
      </c>
      <c r="M18" s="156">
        <f>IF(ISERROR(VLOOKUP(K18,LG제품!$A$3:$C$271,3,0)),,VLOOKUP(K18,LG제품!$A$3:$C$271,3,0))</f>
        <v>6800</v>
      </c>
      <c r="N18" s="39">
        <v>1</v>
      </c>
      <c r="O18" s="157">
        <f>L18*N18</f>
        <v>6000</v>
      </c>
      <c r="P18" s="157">
        <f>M18*N18</f>
        <v>6800</v>
      </c>
      <c r="Q18" s="174"/>
      <c r="R18" s="109"/>
      <c r="S18" s="64"/>
      <c r="T18" s="64"/>
      <c r="U18" s="73"/>
      <c r="V18" s="76"/>
      <c r="W18" s="62"/>
    </row>
    <row r="19" spans="1:23" s="5" customFormat="1" ht="18" customHeight="1">
      <c r="A19" s="302"/>
      <c r="B19" s="321" t="s">
        <v>131</v>
      </c>
      <c r="C19" s="321"/>
      <c r="D19" s="321"/>
      <c r="E19" s="321"/>
      <c r="F19" s="321"/>
      <c r="G19" s="321"/>
      <c r="H19" s="321"/>
      <c r="I19" s="321"/>
      <c r="J19" s="222"/>
      <c r="K19" s="223"/>
      <c r="L19" s="224"/>
      <c r="M19" s="224"/>
      <c r="N19" s="210">
        <f>SUM(N14:N18)</f>
        <v>5</v>
      </c>
      <c r="O19" s="224">
        <f>SUM(O14:O18)</f>
        <v>30000</v>
      </c>
      <c r="P19" s="224">
        <f>SUM(P14:P18)</f>
        <v>34000</v>
      </c>
      <c r="Q19" s="175"/>
      <c r="R19" s="110"/>
      <c r="S19" s="65"/>
      <c r="T19" s="65"/>
      <c r="U19" s="74"/>
      <c r="V19" s="77"/>
      <c r="W19" s="63"/>
    </row>
    <row r="20" spans="1:23" s="5" customFormat="1" ht="18" customHeight="1">
      <c r="A20" s="2"/>
      <c r="B20" s="2"/>
      <c r="C20" s="8"/>
      <c r="D20" s="8"/>
      <c r="E20" s="8"/>
      <c r="F20" s="8"/>
      <c r="G20" s="8"/>
      <c r="H20" s="8"/>
      <c r="I20" s="8"/>
      <c r="J20" s="166"/>
      <c r="K20" s="2"/>
      <c r="L20" s="6"/>
      <c r="M20" s="6"/>
      <c r="N20" s="30">
        <f>SUM(N19,N13,N7)</f>
        <v>18</v>
      </c>
      <c r="O20" s="6"/>
      <c r="P20" s="6"/>
      <c r="Q20" s="172"/>
      <c r="S20" s="6"/>
      <c r="T20" s="6"/>
      <c r="U20" s="31">
        <f>SUM(U5:U19)</f>
        <v>3</v>
      </c>
    </row>
    <row r="21" spans="1:23" s="17" customFormat="1" ht="14.1" customHeight="1">
      <c r="A21" s="16" t="s">
        <v>96</v>
      </c>
      <c r="C21" s="18"/>
      <c r="D21" s="18"/>
      <c r="E21" s="18"/>
      <c r="F21" s="18"/>
      <c r="G21" s="18"/>
      <c r="H21" s="18"/>
      <c r="I21" s="18"/>
      <c r="J21" s="182"/>
      <c r="L21" s="19"/>
      <c r="M21" s="19"/>
      <c r="N21" s="2"/>
      <c r="O21" s="19"/>
      <c r="P21" s="19"/>
      <c r="Q21" s="172"/>
      <c r="S21" s="19"/>
      <c r="T21" s="19"/>
      <c r="U21" s="19"/>
    </row>
    <row r="22" spans="1:23" s="17" customFormat="1" ht="14.1" customHeight="1">
      <c r="A22" s="16" t="s">
        <v>97</v>
      </c>
      <c r="C22" s="18"/>
      <c r="D22" s="18"/>
      <c r="E22" s="18"/>
      <c r="F22" s="18"/>
      <c r="G22" s="18"/>
      <c r="H22" s="18"/>
      <c r="I22" s="18"/>
      <c r="J22" s="182"/>
      <c r="L22" s="19"/>
      <c r="M22" s="19"/>
      <c r="N22" s="2"/>
      <c r="O22" s="19"/>
      <c r="P22" s="19"/>
      <c r="Q22" s="172"/>
      <c r="S22" s="19"/>
      <c r="T22" s="19"/>
      <c r="U22" s="19"/>
    </row>
    <row r="23" spans="1:23" s="17" customFormat="1" ht="14.1" customHeight="1">
      <c r="A23" s="16" t="s">
        <v>10</v>
      </c>
      <c r="C23" s="18"/>
      <c r="D23" s="18"/>
      <c r="E23" s="18"/>
      <c r="F23" s="18"/>
      <c r="G23" s="18"/>
      <c r="H23" s="18"/>
      <c r="I23" s="18"/>
      <c r="J23" s="182"/>
      <c r="L23" s="19"/>
      <c r="M23" s="19"/>
      <c r="N23" s="2"/>
      <c r="O23" s="19"/>
      <c r="P23" s="19"/>
      <c r="Q23" s="172"/>
      <c r="S23" s="19"/>
      <c r="T23" s="19"/>
      <c r="U23" s="19"/>
    </row>
    <row r="24" spans="1:23" s="17" customFormat="1" ht="14.1" customHeight="1">
      <c r="A24" s="16" t="s">
        <v>11</v>
      </c>
      <c r="C24" s="18"/>
      <c r="D24" s="18"/>
      <c r="E24" s="18"/>
      <c r="F24" s="18"/>
      <c r="G24" s="18"/>
      <c r="H24" s="18"/>
      <c r="I24" s="18"/>
      <c r="J24" s="182"/>
      <c r="L24" s="19"/>
      <c r="M24" s="19"/>
      <c r="N24" s="2"/>
      <c r="O24" s="19"/>
      <c r="P24" s="19"/>
      <c r="Q24" s="172"/>
      <c r="S24" s="19"/>
      <c r="T24" s="19"/>
      <c r="U24" s="19"/>
    </row>
    <row r="25" spans="1:23" s="17" customFormat="1" ht="14.1" customHeight="1">
      <c r="A25" s="16"/>
      <c r="C25" s="18"/>
      <c r="D25" s="18"/>
      <c r="E25" s="18"/>
      <c r="F25" s="18"/>
      <c r="G25" s="18"/>
      <c r="H25" s="18"/>
      <c r="I25" s="18"/>
      <c r="J25" s="182"/>
      <c r="L25" s="19"/>
      <c r="M25" s="19"/>
      <c r="N25" s="2"/>
      <c r="O25" s="19"/>
      <c r="P25" s="19"/>
      <c r="Q25" s="172"/>
      <c r="S25" s="19"/>
      <c r="T25" s="19"/>
      <c r="U25" s="19"/>
    </row>
    <row r="26" spans="1:23" s="5" customFormat="1" ht="18" customHeight="1">
      <c r="A26" s="2"/>
      <c r="B26" s="2"/>
      <c r="C26" s="8"/>
      <c r="D26" s="8"/>
      <c r="E26" s="8"/>
      <c r="F26" s="8"/>
      <c r="G26" s="8"/>
      <c r="H26" s="8"/>
      <c r="I26" s="8"/>
      <c r="J26" s="310" t="s">
        <v>196</v>
      </c>
      <c r="K26" s="311"/>
      <c r="L26" s="312"/>
      <c r="M26" s="6"/>
      <c r="O26" s="6"/>
      <c r="P26" s="6"/>
      <c r="Q26" s="310" t="s">
        <v>197</v>
      </c>
      <c r="R26" s="311"/>
      <c r="S26" s="312"/>
      <c r="T26" s="6"/>
      <c r="U26" s="243" t="s">
        <v>1160</v>
      </c>
      <c r="V26" s="47" t="s">
        <v>1161</v>
      </c>
    </row>
    <row r="27" spans="1:23" s="5" customFormat="1" ht="18" customHeight="1">
      <c r="A27" s="2"/>
      <c r="B27" s="2"/>
      <c r="C27" s="8"/>
      <c r="D27" s="8"/>
      <c r="E27" s="8"/>
      <c r="F27" s="8"/>
      <c r="G27" s="8"/>
      <c r="H27" s="8"/>
      <c r="I27" s="24"/>
      <c r="J27" s="170" t="s">
        <v>308</v>
      </c>
      <c r="K27" s="25" t="s">
        <v>300</v>
      </c>
      <c r="L27" s="46">
        <f t="shared" ref="L27:L49" si="2">SUMPRODUCT(($K$5:$K$19=K27)*($N$5:$N$19))</f>
        <v>3</v>
      </c>
      <c r="M27" s="26"/>
      <c r="N27" s="27"/>
      <c r="O27" s="26"/>
      <c r="P27" s="26"/>
      <c r="Q27" s="177">
        <v>8</v>
      </c>
      <c r="R27" s="28" t="s">
        <v>957</v>
      </c>
      <c r="S27" s="46">
        <f t="shared" ref="S27:S45" si="3">SUMPRODUCT(($R$5:$R$19=R27)*($U$5:$U$19))</f>
        <v>0</v>
      </c>
      <c r="T27" s="26"/>
      <c r="U27" s="243" t="str">
        <f t="shared" ref="U27:U45" si="4">MID(R27,5,2)</f>
        <v>08</v>
      </c>
      <c r="V27" s="47">
        <f>U27*S27</f>
        <v>0</v>
      </c>
    </row>
    <row r="28" spans="1:23" s="5" customFormat="1" ht="18" customHeight="1">
      <c r="A28" s="2"/>
      <c r="B28" s="2"/>
      <c r="C28" s="8"/>
      <c r="D28" s="8"/>
      <c r="E28" s="8"/>
      <c r="F28" s="8"/>
      <c r="G28" s="8"/>
      <c r="H28" s="8"/>
      <c r="I28" s="24"/>
      <c r="J28" s="170" t="s">
        <v>309</v>
      </c>
      <c r="K28" s="25" t="s">
        <v>94</v>
      </c>
      <c r="L28" s="46">
        <f t="shared" si="2"/>
        <v>0</v>
      </c>
      <c r="M28" s="26"/>
      <c r="N28" s="27"/>
      <c r="O28" s="26"/>
      <c r="P28" s="26"/>
      <c r="Q28" s="177">
        <v>10</v>
      </c>
      <c r="R28" s="29" t="s">
        <v>959</v>
      </c>
      <c r="S28" s="46">
        <f t="shared" si="3"/>
        <v>0</v>
      </c>
      <c r="T28" s="26"/>
      <c r="U28" s="243" t="str">
        <f t="shared" si="4"/>
        <v>10</v>
      </c>
      <c r="V28" s="47">
        <f t="shared" ref="V28:V45" si="5">U28*S28</f>
        <v>0</v>
      </c>
    </row>
    <row r="29" spans="1:23" s="5" customFormat="1" ht="18" customHeight="1">
      <c r="A29" s="2"/>
      <c r="B29" s="2"/>
      <c r="C29" s="8"/>
      <c r="D29" s="8"/>
      <c r="E29" s="8"/>
      <c r="F29" s="8"/>
      <c r="G29" s="8"/>
      <c r="H29" s="8"/>
      <c r="I29" s="24"/>
      <c r="J29" s="170" t="s">
        <v>310</v>
      </c>
      <c r="K29" s="25" t="s">
        <v>301</v>
      </c>
      <c r="L29" s="46">
        <f t="shared" si="2"/>
        <v>0</v>
      </c>
      <c r="M29" s="26"/>
      <c r="N29" s="27"/>
      <c r="O29" s="26"/>
      <c r="P29" s="26"/>
      <c r="Q29" s="177">
        <v>12</v>
      </c>
      <c r="R29" s="29" t="s">
        <v>961</v>
      </c>
      <c r="S29" s="46">
        <f t="shared" si="3"/>
        <v>1</v>
      </c>
      <c r="T29" s="26"/>
      <c r="U29" s="243" t="str">
        <f t="shared" si="4"/>
        <v>12</v>
      </c>
      <c r="V29" s="47">
        <f t="shared" si="5"/>
        <v>12</v>
      </c>
    </row>
    <row r="30" spans="1:23" s="5" customFormat="1" ht="18" customHeight="1">
      <c r="A30" s="2"/>
      <c r="B30" s="2"/>
      <c r="C30" s="8"/>
      <c r="D30" s="8"/>
      <c r="E30" s="8"/>
      <c r="F30" s="8"/>
      <c r="G30" s="8"/>
      <c r="H30" s="8"/>
      <c r="I30" s="24"/>
      <c r="J30" s="170" t="s">
        <v>311</v>
      </c>
      <c r="K30" s="25" t="s">
        <v>194</v>
      </c>
      <c r="L30" s="46">
        <f t="shared" si="2"/>
        <v>3</v>
      </c>
      <c r="M30" s="26"/>
      <c r="N30" s="27"/>
      <c r="O30" s="26"/>
      <c r="P30" s="26"/>
      <c r="Q30" s="177">
        <v>20</v>
      </c>
      <c r="R30" s="29" t="s">
        <v>963</v>
      </c>
      <c r="S30" s="46">
        <f t="shared" si="3"/>
        <v>0</v>
      </c>
      <c r="T30" s="26"/>
      <c r="U30" s="243" t="str">
        <f t="shared" si="4"/>
        <v>20</v>
      </c>
      <c r="V30" s="47">
        <f t="shared" si="5"/>
        <v>0</v>
      </c>
    </row>
    <row r="31" spans="1:23" s="5" customFormat="1" ht="18" customHeight="1">
      <c r="A31" s="2"/>
      <c r="B31" s="2"/>
      <c r="C31" s="8"/>
      <c r="D31" s="8"/>
      <c r="E31" s="8"/>
      <c r="F31" s="8"/>
      <c r="G31" s="8"/>
      <c r="H31" s="8"/>
      <c r="I31" s="24"/>
      <c r="J31" s="170" t="s">
        <v>312</v>
      </c>
      <c r="K31" s="25" t="s">
        <v>302</v>
      </c>
      <c r="L31" s="46">
        <f t="shared" si="2"/>
        <v>0</v>
      </c>
      <c r="M31" s="26"/>
      <c r="N31" s="27"/>
      <c r="O31" s="26"/>
      <c r="P31" s="26"/>
      <c r="Q31" s="177">
        <v>16</v>
      </c>
      <c r="R31" s="29" t="s">
        <v>1098</v>
      </c>
      <c r="S31" s="46">
        <f t="shared" si="3"/>
        <v>0</v>
      </c>
      <c r="T31" s="26"/>
      <c r="U31" s="243" t="str">
        <f t="shared" si="4"/>
        <v>16</v>
      </c>
      <c r="V31" s="47">
        <f t="shared" si="5"/>
        <v>0</v>
      </c>
    </row>
    <row r="32" spans="1:23" s="5" customFormat="1" ht="18" customHeight="1">
      <c r="A32" s="2"/>
      <c r="B32" s="2"/>
      <c r="C32" s="8"/>
      <c r="D32" s="8"/>
      <c r="E32" s="8"/>
      <c r="F32" s="8"/>
      <c r="G32" s="8"/>
      <c r="H32" s="8"/>
      <c r="I32" s="24"/>
      <c r="J32" s="170" t="s">
        <v>313</v>
      </c>
      <c r="K32" s="25" t="s">
        <v>303</v>
      </c>
      <c r="L32" s="46">
        <f t="shared" si="2"/>
        <v>0</v>
      </c>
      <c r="M32" s="26"/>
      <c r="N32" s="27"/>
      <c r="O32" s="26"/>
      <c r="P32" s="26"/>
      <c r="Q32" s="177">
        <v>18</v>
      </c>
      <c r="R32" s="29" t="s">
        <v>1097</v>
      </c>
      <c r="S32" s="46">
        <f t="shared" si="3"/>
        <v>2</v>
      </c>
      <c r="T32" s="26"/>
      <c r="U32" s="243" t="str">
        <f t="shared" si="4"/>
        <v>18</v>
      </c>
      <c r="V32" s="47">
        <f t="shared" si="5"/>
        <v>36</v>
      </c>
    </row>
    <row r="33" spans="10:22" s="5" customFormat="1" ht="18" customHeight="1">
      <c r="J33" s="170" t="s">
        <v>314</v>
      </c>
      <c r="K33" s="25" t="s">
        <v>356</v>
      </c>
      <c r="L33" s="46">
        <f t="shared" si="2"/>
        <v>0</v>
      </c>
      <c r="M33" s="26"/>
      <c r="N33" s="27"/>
      <c r="O33" s="26"/>
      <c r="P33" s="26"/>
      <c r="Q33" s="177">
        <v>22</v>
      </c>
      <c r="R33" s="29" t="s">
        <v>1099</v>
      </c>
      <c r="S33" s="46">
        <f t="shared" si="3"/>
        <v>0</v>
      </c>
      <c r="U33" s="243" t="str">
        <f t="shared" si="4"/>
        <v>22</v>
      </c>
      <c r="V33" s="47">
        <f t="shared" si="5"/>
        <v>0</v>
      </c>
    </row>
    <row r="34" spans="10:22" s="5" customFormat="1" ht="18" customHeight="1">
      <c r="J34" s="170" t="s">
        <v>315</v>
      </c>
      <c r="K34" s="25" t="s">
        <v>212</v>
      </c>
      <c r="L34" s="46">
        <f t="shared" si="2"/>
        <v>0</v>
      </c>
      <c r="M34" s="26"/>
      <c r="N34" s="27"/>
      <c r="O34" s="26"/>
      <c r="P34" s="26"/>
      <c r="Q34" s="177">
        <v>24</v>
      </c>
      <c r="R34" s="29" t="s">
        <v>1100</v>
      </c>
      <c r="S34" s="46">
        <f t="shared" si="3"/>
        <v>0</v>
      </c>
      <c r="U34" s="243" t="str">
        <f t="shared" si="4"/>
        <v>24</v>
      </c>
      <c r="V34" s="47">
        <f t="shared" si="5"/>
        <v>0</v>
      </c>
    </row>
    <row r="35" spans="10:22" s="5" customFormat="1" ht="18" customHeight="1">
      <c r="J35" s="170" t="s">
        <v>332</v>
      </c>
      <c r="K35" s="25" t="s">
        <v>213</v>
      </c>
      <c r="L35" s="46">
        <f t="shared" si="2"/>
        <v>0</v>
      </c>
      <c r="M35" s="26"/>
      <c r="N35" s="27"/>
      <c r="O35" s="26"/>
      <c r="P35" s="26"/>
      <c r="Q35" s="177">
        <v>26</v>
      </c>
      <c r="R35" s="29" t="s">
        <v>1101</v>
      </c>
      <c r="S35" s="46">
        <f t="shared" si="3"/>
        <v>0</v>
      </c>
      <c r="U35" s="243" t="str">
        <f t="shared" si="4"/>
        <v>26</v>
      </c>
      <c r="V35" s="47">
        <f t="shared" si="5"/>
        <v>0</v>
      </c>
    </row>
    <row r="36" spans="10:22" s="5" customFormat="1" ht="18" customHeight="1">
      <c r="J36" s="170" t="s">
        <v>333</v>
      </c>
      <c r="K36" s="25" t="s">
        <v>214</v>
      </c>
      <c r="L36" s="46">
        <f t="shared" si="2"/>
        <v>0</v>
      </c>
      <c r="M36" s="26"/>
      <c r="N36" s="27"/>
      <c r="O36" s="26"/>
      <c r="P36" s="26"/>
      <c r="Q36" s="177">
        <v>28</v>
      </c>
      <c r="R36" s="29" t="s">
        <v>1102</v>
      </c>
      <c r="S36" s="46">
        <f t="shared" si="3"/>
        <v>0</v>
      </c>
      <c r="U36" s="243" t="str">
        <f t="shared" si="4"/>
        <v>28</v>
      </c>
      <c r="V36" s="47">
        <f t="shared" si="5"/>
        <v>0</v>
      </c>
    </row>
    <row r="37" spans="10:22" s="5" customFormat="1" ht="18" customHeight="1">
      <c r="J37" s="170" t="s">
        <v>334</v>
      </c>
      <c r="K37" s="25" t="s">
        <v>304</v>
      </c>
      <c r="L37" s="46">
        <f t="shared" si="2"/>
        <v>0</v>
      </c>
      <c r="M37" s="26"/>
      <c r="N37" s="27"/>
      <c r="O37" s="26"/>
      <c r="P37" s="26"/>
      <c r="Q37" s="177">
        <v>30</v>
      </c>
      <c r="R37" s="29" t="s">
        <v>1103</v>
      </c>
      <c r="S37" s="46">
        <f t="shared" si="3"/>
        <v>0</v>
      </c>
      <c r="U37" s="243" t="str">
        <f t="shared" si="4"/>
        <v>30</v>
      </c>
      <c r="V37" s="47">
        <f t="shared" si="5"/>
        <v>0</v>
      </c>
    </row>
    <row r="38" spans="10:22" s="5" customFormat="1" ht="18" customHeight="1">
      <c r="J38" s="170" t="s">
        <v>335</v>
      </c>
      <c r="K38" s="25" t="s">
        <v>305</v>
      </c>
      <c r="L38" s="46">
        <f t="shared" si="2"/>
        <v>0</v>
      </c>
      <c r="M38" s="26"/>
      <c r="N38" s="27"/>
      <c r="O38" s="26"/>
      <c r="P38" s="26"/>
      <c r="Q38" s="177">
        <v>32</v>
      </c>
      <c r="R38" s="29" t="s">
        <v>1104</v>
      </c>
      <c r="S38" s="46">
        <f t="shared" si="3"/>
        <v>0</v>
      </c>
      <c r="U38" s="243" t="str">
        <f t="shared" si="4"/>
        <v>32</v>
      </c>
      <c r="V38" s="47">
        <f t="shared" si="5"/>
        <v>0</v>
      </c>
    </row>
    <row r="39" spans="10:22" s="5" customFormat="1" ht="18" customHeight="1">
      <c r="J39" s="170" t="s">
        <v>336</v>
      </c>
      <c r="K39" s="25" t="s">
        <v>102</v>
      </c>
      <c r="L39" s="46">
        <f t="shared" si="2"/>
        <v>0</v>
      </c>
      <c r="M39" s="26"/>
      <c r="N39" s="27"/>
      <c r="O39" s="26"/>
      <c r="P39" s="26"/>
      <c r="Q39" s="177">
        <v>34</v>
      </c>
      <c r="R39" s="29" t="s">
        <v>1105</v>
      </c>
      <c r="S39" s="46">
        <f t="shared" si="3"/>
        <v>0</v>
      </c>
      <c r="U39" s="243" t="str">
        <f t="shared" si="4"/>
        <v>34</v>
      </c>
      <c r="V39" s="47">
        <f t="shared" si="5"/>
        <v>0</v>
      </c>
    </row>
    <row r="40" spans="10:22" s="5" customFormat="1" ht="18" customHeight="1">
      <c r="J40" s="170" t="s">
        <v>306</v>
      </c>
      <c r="K40" s="25" t="s">
        <v>1059</v>
      </c>
      <c r="L40" s="46">
        <f t="shared" si="2"/>
        <v>0</v>
      </c>
      <c r="M40" s="26"/>
      <c r="N40" s="27"/>
      <c r="O40" s="26"/>
      <c r="P40" s="26"/>
      <c r="Q40" s="177">
        <v>36</v>
      </c>
      <c r="R40" s="29" t="s">
        <v>1106</v>
      </c>
      <c r="S40" s="46">
        <f t="shared" si="3"/>
        <v>0</v>
      </c>
      <c r="U40" s="243" t="str">
        <f t="shared" si="4"/>
        <v>36</v>
      </c>
      <c r="V40" s="47">
        <f t="shared" si="5"/>
        <v>0</v>
      </c>
    </row>
    <row r="41" spans="10:22" s="5" customFormat="1" ht="18" customHeight="1">
      <c r="J41" s="170" t="s">
        <v>337</v>
      </c>
      <c r="K41" s="25" t="s">
        <v>1122</v>
      </c>
      <c r="L41" s="46">
        <f t="shared" si="2"/>
        <v>0</v>
      </c>
      <c r="M41" s="26"/>
      <c r="N41" s="27"/>
      <c r="O41" s="26"/>
      <c r="P41" s="26"/>
      <c r="Q41" s="177">
        <v>38</v>
      </c>
      <c r="R41" s="29" t="s">
        <v>1107</v>
      </c>
      <c r="S41" s="46">
        <f t="shared" si="3"/>
        <v>0</v>
      </c>
      <c r="U41" s="243" t="str">
        <f t="shared" si="4"/>
        <v>38</v>
      </c>
      <c r="V41" s="47">
        <f t="shared" si="5"/>
        <v>0</v>
      </c>
    </row>
    <row r="42" spans="10:22" s="5" customFormat="1" ht="18" customHeight="1">
      <c r="J42" s="170" t="s">
        <v>203</v>
      </c>
      <c r="K42" s="25" t="s">
        <v>1123</v>
      </c>
      <c r="L42" s="46">
        <f t="shared" si="2"/>
        <v>0</v>
      </c>
      <c r="M42" s="26"/>
      <c r="N42" s="27"/>
      <c r="O42" s="26"/>
      <c r="P42" s="26"/>
      <c r="Q42" s="177">
        <v>40</v>
      </c>
      <c r="R42" s="29" t="s">
        <v>1108</v>
      </c>
      <c r="S42" s="46">
        <f t="shared" si="3"/>
        <v>0</v>
      </c>
      <c r="U42" s="243" t="str">
        <f t="shared" si="4"/>
        <v>40</v>
      </c>
      <c r="V42" s="47">
        <f t="shared" si="5"/>
        <v>0</v>
      </c>
    </row>
    <row r="43" spans="10:22" s="5" customFormat="1" ht="18" customHeight="1">
      <c r="J43" s="170" t="s">
        <v>338</v>
      </c>
      <c r="K43" s="25" t="s">
        <v>1124</v>
      </c>
      <c r="L43" s="46">
        <f t="shared" si="2"/>
        <v>12</v>
      </c>
      <c r="M43" s="26"/>
      <c r="N43" s="27"/>
      <c r="O43" s="26"/>
      <c r="P43" s="26"/>
      <c r="Q43" s="177">
        <v>42</v>
      </c>
      <c r="R43" s="29" t="s">
        <v>1109</v>
      </c>
      <c r="S43" s="46">
        <f t="shared" si="3"/>
        <v>0</v>
      </c>
      <c r="U43" s="243" t="str">
        <f t="shared" si="4"/>
        <v>42</v>
      </c>
      <c r="V43" s="47">
        <f t="shared" si="5"/>
        <v>0</v>
      </c>
    </row>
    <row r="44" spans="10:22" s="5" customFormat="1" ht="18" customHeight="1">
      <c r="J44" s="170" t="s">
        <v>204</v>
      </c>
      <c r="K44" s="25" t="s">
        <v>1125</v>
      </c>
      <c r="L44" s="46">
        <f t="shared" si="2"/>
        <v>0</v>
      </c>
      <c r="M44" s="26"/>
      <c r="N44" s="27"/>
      <c r="O44" s="26"/>
      <c r="P44" s="26"/>
      <c r="Q44" s="177">
        <v>44</v>
      </c>
      <c r="R44" s="29" t="s">
        <v>1110</v>
      </c>
      <c r="S44" s="46">
        <f t="shared" si="3"/>
        <v>0</v>
      </c>
      <c r="U44" s="243" t="str">
        <f t="shared" si="4"/>
        <v>44</v>
      </c>
      <c r="V44" s="47">
        <f t="shared" si="5"/>
        <v>0</v>
      </c>
    </row>
    <row r="45" spans="10:22" s="5" customFormat="1" ht="18" customHeight="1">
      <c r="J45" s="170" t="s">
        <v>205</v>
      </c>
      <c r="K45" s="25" t="s">
        <v>1126</v>
      </c>
      <c r="L45" s="46">
        <f t="shared" si="2"/>
        <v>0</v>
      </c>
      <c r="M45" s="26"/>
      <c r="N45" s="27"/>
      <c r="O45" s="26"/>
      <c r="P45" s="26"/>
      <c r="Q45" s="177">
        <v>48</v>
      </c>
      <c r="R45" s="29" t="s">
        <v>1111</v>
      </c>
      <c r="S45" s="46">
        <f t="shared" si="3"/>
        <v>0</v>
      </c>
      <c r="U45" s="243" t="str">
        <f t="shared" si="4"/>
        <v>48</v>
      </c>
      <c r="V45" s="47">
        <f t="shared" si="5"/>
        <v>0</v>
      </c>
    </row>
    <row r="46" spans="10:22" s="5" customFormat="1" ht="18" customHeight="1">
      <c r="J46" s="170" t="s">
        <v>339</v>
      </c>
      <c r="K46" s="25" t="s">
        <v>1127</v>
      </c>
      <c r="L46" s="46">
        <f t="shared" si="2"/>
        <v>0</v>
      </c>
      <c r="M46" s="26"/>
      <c r="N46" s="27"/>
      <c r="O46" s="26"/>
      <c r="P46" s="26"/>
      <c r="Q46" s="322" t="s">
        <v>195</v>
      </c>
      <c r="R46" s="323"/>
      <c r="S46" s="217">
        <f>SUM(S27:S45)</f>
        <v>3</v>
      </c>
      <c r="U46" s="244" t="s">
        <v>1162</v>
      </c>
      <c r="V46" s="245">
        <f>SUM(V27:V45)</f>
        <v>48</v>
      </c>
    </row>
    <row r="47" spans="10:22" s="5" customFormat="1" ht="18" customHeight="1">
      <c r="J47" s="170" t="s">
        <v>340</v>
      </c>
      <c r="K47" s="25" t="s">
        <v>1128</v>
      </c>
      <c r="L47" s="46">
        <f t="shared" si="2"/>
        <v>0</v>
      </c>
      <c r="M47" s="26"/>
      <c r="N47" s="27"/>
      <c r="O47" s="26"/>
      <c r="P47" s="26"/>
    </row>
    <row r="48" spans="10:22" s="5" customFormat="1" ht="18" customHeight="1">
      <c r="J48" s="170" t="s">
        <v>202</v>
      </c>
      <c r="K48" s="25" t="s">
        <v>1129</v>
      </c>
      <c r="L48" s="46">
        <f t="shared" si="2"/>
        <v>0</v>
      </c>
      <c r="M48" s="26"/>
      <c r="N48" s="27"/>
      <c r="O48" s="26"/>
      <c r="P48" s="26"/>
    </row>
    <row r="49" spans="10:19" s="5" customFormat="1" ht="18" customHeight="1">
      <c r="J49" s="170" t="s">
        <v>206</v>
      </c>
      <c r="K49" s="25" t="s">
        <v>1130</v>
      </c>
      <c r="L49" s="46">
        <f t="shared" si="2"/>
        <v>0</v>
      </c>
      <c r="Q49" s="178"/>
      <c r="R49" s="20"/>
      <c r="S49" s="21"/>
    </row>
    <row r="50" spans="10:19" s="5" customFormat="1" ht="18" customHeight="1">
      <c r="J50" s="322" t="s">
        <v>195</v>
      </c>
      <c r="K50" s="323"/>
      <c r="L50" s="217">
        <f>SUM(L27:L49)</f>
        <v>18</v>
      </c>
      <c r="Q50" s="178"/>
      <c r="R50" s="20"/>
      <c r="S50" s="21"/>
    </row>
  </sheetData>
  <mergeCells count="20">
    <mergeCell ref="J26:L26"/>
    <mergeCell ref="J50:K50"/>
    <mergeCell ref="Q26:S26"/>
    <mergeCell ref="Q46:R46"/>
    <mergeCell ref="J3:J4"/>
    <mergeCell ref="A3:A4"/>
    <mergeCell ref="B3:B4"/>
    <mergeCell ref="D3:E3"/>
    <mergeCell ref="F3:G3"/>
    <mergeCell ref="H3:I3"/>
    <mergeCell ref="W3:W4"/>
    <mergeCell ref="K3:K4"/>
    <mergeCell ref="Q3:Q4"/>
    <mergeCell ref="R3:R4"/>
    <mergeCell ref="V3:V4"/>
    <mergeCell ref="B13:I13"/>
    <mergeCell ref="B19:I19"/>
    <mergeCell ref="B7:I7"/>
    <mergeCell ref="A8:A19"/>
    <mergeCell ref="A5:A7"/>
  </mergeCells>
  <phoneticPr fontId="3" type="noConversion"/>
  <dataValidations count="2">
    <dataValidation type="list" allowBlank="1" showInputMessage="1" showErrorMessage="1" sqref="R47:R1048576 R27:R45 R1:R25" xr:uid="{00000000-0002-0000-0600-000000000000}">
      <formula1>W실외기</formula1>
    </dataValidation>
    <dataValidation type="list" allowBlank="1" showInputMessage="1" showErrorMessage="1" sqref="K20:K25 K51:K65537 K27:K49 K1:K18" xr:uid="{00000000-0002-0000-0600-000001000000}">
      <formula1>M실내기</formula1>
    </dataValidation>
  </dataValidations>
  <printOptions horizontalCentered="1"/>
  <pageMargins left="0" right="0" top="0.39370078740157483" bottom="0.39370078740157483" header="0" footer="0"/>
  <pageSetup paperSize="9" scale="70" orientation="landscape" r:id="rId1"/>
  <headerFooter alignWithMargins="0">
    <oddHeader>&amp;C&amp;"Calibri"&amp;12&amp;K000000 LGE Internal Use Only&amp;1#_x000D_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0.39997558519241921"/>
  </sheetPr>
  <dimension ref="A1:AB48"/>
  <sheetViews>
    <sheetView showGridLines="0" topLeftCell="F4" zoomScaleNormal="100" zoomScaleSheetLayoutView="90" workbookViewId="0">
      <selection activeCell="S41" sqref="S41"/>
    </sheetView>
  </sheetViews>
  <sheetFormatPr defaultRowHeight="18" customHeight="1"/>
  <cols>
    <col min="1" max="1" width="7" style="23" customWidth="1"/>
    <col min="2" max="2" width="15.109375" style="23" customWidth="1"/>
    <col min="3" max="7" width="7" style="22" customWidth="1"/>
    <col min="8" max="9" width="8.109375" style="22" customWidth="1"/>
    <col min="10" max="10" width="5" style="171" customWidth="1"/>
    <col min="11" max="11" width="12.21875" style="23" customWidth="1"/>
    <col min="12" max="13" width="10.109375" style="21" customWidth="1"/>
    <col min="14" max="14" width="4.44140625" style="20" customWidth="1"/>
    <col min="15" max="16" width="10.109375" style="21" customWidth="1"/>
    <col min="17" max="17" width="5" style="178" customWidth="1"/>
    <col min="18" max="18" width="12.21875" style="20" customWidth="1"/>
    <col min="19" max="20" width="10.109375" style="21" customWidth="1"/>
    <col min="21" max="21" width="4.44140625" style="21" customWidth="1"/>
    <col min="22" max="23" width="10.6640625" style="20" customWidth="1"/>
    <col min="24" max="24" width="6.6640625" style="20" customWidth="1"/>
    <col min="25" max="16384" width="8.88671875" style="20"/>
  </cols>
  <sheetData>
    <row r="1" spans="1:28" s="27" customFormat="1" ht="22.5" customHeight="1">
      <c r="A1" s="1" t="s">
        <v>106</v>
      </c>
      <c r="B1" s="30"/>
      <c r="C1" s="78"/>
      <c r="D1" s="78"/>
      <c r="E1" s="78"/>
      <c r="F1" s="78"/>
      <c r="G1" s="78"/>
      <c r="H1" s="78"/>
      <c r="I1" s="78"/>
      <c r="J1" s="181"/>
      <c r="K1" s="30"/>
      <c r="L1" s="79"/>
      <c r="M1" s="79"/>
      <c r="O1" s="79"/>
      <c r="P1" s="79"/>
      <c r="Q1" s="176"/>
      <c r="S1" s="26"/>
      <c r="T1" s="26"/>
      <c r="U1" s="26"/>
      <c r="Y1" s="80"/>
      <c r="Z1" s="80"/>
      <c r="AA1" s="80"/>
      <c r="AB1" s="80"/>
    </row>
    <row r="2" spans="1:28" s="5" customFormat="1" ht="11.25" customHeight="1">
      <c r="A2" s="2"/>
      <c r="B2" s="2"/>
      <c r="C2" s="8"/>
      <c r="D2" s="8"/>
      <c r="E2" s="8"/>
      <c r="F2" s="8"/>
      <c r="G2" s="8"/>
      <c r="H2" s="8"/>
      <c r="I2" s="8"/>
      <c r="J2" s="166"/>
      <c r="K2" s="2"/>
      <c r="L2" s="6"/>
      <c r="M2" s="6"/>
      <c r="O2" s="6"/>
      <c r="P2" s="6"/>
      <c r="Q2" s="172"/>
      <c r="S2" s="6"/>
      <c r="T2" s="6"/>
      <c r="U2" s="6"/>
      <c r="V2" s="88" t="s">
        <v>116</v>
      </c>
      <c r="W2" s="88" t="s">
        <v>107</v>
      </c>
      <c r="X2" s="9"/>
      <c r="Y2" s="7"/>
      <c r="Z2" s="7"/>
      <c r="AA2" s="7"/>
      <c r="AB2" s="7"/>
    </row>
    <row r="3" spans="1:28" s="5" customFormat="1" ht="18" customHeight="1">
      <c r="A3" s="320" t="s">
        <v>50</v>
      </c>
      <c r="B3" s="320" t="s">
        <v>51</v>
      </c>
      <c r="C3" s="218" t="s">
        <v>52</v>
      </c>
      <c r="D3" s="315" t="s">
        <v>53</v>
      </c>
      <c r="E3" s="315"/>
      <c r="F3" s="315" t="s">
        <v>54</v>
      </c>
      <c r="G3" s="315"/>
      <c r="H3" s="316" t="s">
        <v>98</v>
      </c>
      <c r="I3" s="316"/>
      <c r="J3" s="318" t="s">
        <v>307</v>
      </c>
      <c r="K3" s="306" t="s">
        <v>55</v>
      </c>
      <c r="L3" s="219" t="s">
        <v>56</v>
      </c>
      <c r="M3" s="219" t="s">
        <v>57</v>
      </c>
      <c r="N3" s="220" t="s">
        <v>58</v>
      </c>
      <c r="O3" s="219" t="s">
        <v>59</v>
      </c>
      <c r="P3" s="219" t="s">
        <v>60</v>
      </c>
      <c r="Q3" s="318" t="s">
        <v>307</v>
      </c>
      <c r="R3" s="306" t="s">
        <v>61</v>
      </c>
      <c r="S3" s="219" t="s">
        <v>62</v>
      </c>
      <c r="T3" s="219" t="s">
        <v>63</v>
      </c>
      <c r="U3" s="219" t="s">
        <v>58</v>
      </c>
      <c r="V3" s="89" t="s">
        <v>108</v>
      </c>
      <c r="W3" s="89" t="s">
        <v>109</v>
      </c>
      <c r="X3" s="317" t="s">
        <v>65</v>
      </c>
    </row>
    <row r="4" spans="1:28" s="5" customFormat="1" ht="18" customHeight="1">
      <c r="A4" s="320"/>
      <c r="B4" s="320"/>
      <c r="C4" s="218" t="s">
        <v>66</v>
      </c>
      <c r="D4" s="218" t="s">
        <v>67</v>
      </c>
      <c r="E4" s="218" t="s">
        <v>68</v>
      </c>
      <c r="F4" s="218" t="s">
        <v>67</v>
      </c>
      <c r="G4" s="218" t="s">
        <v>68</v>
      </c>
      <c r="H4" s="221" t="s">
        <v>99</v>
      </c>
      <c r="I4" s="221" t="s">
        <v>100</v>
      </c>
      <c r="J4" s="319"/>
      <c r="K4" s="306"/>
      <c r="L4" s="219" t="s">
        <v>69</v>
      </c>
      <c r="M4" s="219" t="s">
        <v>69</v>
      </c>
      <c r="N4" s="220" t="s">
        <v>70</v>
      </c>
      <c r="O4" s="219" t="s">
        <v>69</v>
      </c>
      <c r="P4" s="219" t="s">
        <v>69</v>
      </c>
      <c r="Q4" s="319"/>
      <c r="R4" s="306"/>
      <c r="S4" s="219" t="s">
        <v>69</v>
      </c>
      <c r="T4" s="219" t="s">
        <v>69</v>
      </c>
      <c r="U4" s="219" t="s">
        <v>70</v>
      </c>
      <c r="V4" s="90" t="s">
        <v>110</v>
      </c>
      <c r="W4" s="90" t="s">
        <v>110</v>
      </c>
      <c r="X4" s="317"/>
    </row>
    <row r="5" spans="1:28" s="5" customFormat="1" ht="18" customHeight="1">
      <c r="A5" s="300" t="s">
        <v>142</v>
      </c>
      <c r="B5" s="105" t="s">
        <v>143</v>
      </c>
      <c r="C5" s="10">
        <v>100</v>
      </c>
      <c r="D5" s="11">
        <v>300</v>
      </c>
      <c r="E5" s="11">
        <f>D5</f>
        <v>300</v>
      </c>
      <c r="F5" s="12">
        <f>D5/0.86</f>
        <v>348.83720930232556</v>
      </c>
      <c r="G5" s="12">
        <f>E5/0.86</f>
        <v>348.83720930232556</v>
      </c>
      <c r="H5" s="13">
        <f>C5*F5</f>
        <v>34883.720930232557</v>
      </c>
      <c r="I5" s="13">
        <f>C5*G5</f>
        <v>34883.720930232557</v>
      </c>
      <c r="J5" s="167" t="str">
        <f>INDEX($J$26:$J$47,MATCH(K5,$K$26:$K$47,0))</f>
        <v>60T</v>
      </c>
      <c r="K5" s="39" t="s">
        <v>27</v>
      </c>
      <c r="L5" s="156">
        <f>IF(ISERROR(VLOOKUP(K5,LG제품!$V$2:$X$53,2,0)),,VLOOKUP(K5,LG제품!$V$2:$X$53,2,0))</f>
        <v>6000</v>
      </c>
      <c r="M5" s="156">
        <f>IF(ISERROR(VLOOKUP(K5,LG제품!$V$2:$X$53,3,0)),,VLOOKUP(K5,LG제품!$V$2:$X$53,3,0))</f>
        <v>6800</v>
      </c>
      <c r="N5" s="39">
        <v>4</v>
      </c>
      <c r="O5" s="156">
        <f>L5*N5</f>
        <v>24000</v>
      </c>
      <c r="P5" s="156">
        <f>M5*N5</f>
        <v>27200</v>
      </c>
      <c r="Q5" s="173">
        <f>INDEX($Q$26:$Q$34,MATCH(R5,$R$26:$R$34,0))</f>
        <v>20</v>
      </c>
      <c r="R5" s="108" t="s">
        <v>441</v>
      </c>
      <c r="S5" s="13">
        <f>IF(ISERROR(VLOOKUP(R5,LG제품!$Z$3:$AB$11,2,0)),,VLOOKUP(R5,LG제품!$Z$3:$AB$11,2,0))</f>
        <v>55800</v>
      </c>
      <c r="T5" s="13">
        <f>IF(ISERROR(VLOOKUP(R5,LG제품!$Z$3:$AB$11,3,0)),,VLOOKUP(R5,LG제품!$Z$3:$AB$11,3,0))</f>
        <v>55500</v>
      </c>
      <c r="U5" s="72">
        <v>1</v>
      </c>
      <c r="V5" s="75">
        <f>O7/S5</f>
        <v>0.75268817204301075</v>
      </c>
      <c r="W5" s="75">
        <f>S5/H7</f>
        <v>1.164757281553398</v>
      </c>
      <c r="X5" s="61"/>
    </row>
    <row r="6" spans="1:28" s="5" customFormat="1" ht="18" customHeight="1">
      <c r="A6" s="301"/>
      <c r="B6" s="39" t="s">
        <v>144</v>
      </c>
      <c r="C6" s="14">
        <v>56</v>
      </c>
      <c r="D6" s="15">
        <v>200</v>
      </c>
      <c r="E6" s="11">
        <f>D6</f>
        <v>200</v>
      </c>
      <c r="F6" s="12">
        <f>D6/0.86</f>
        <v>232.55813953488374</v>
      </c>
      <c r="G6" s="12">
        <f>E6/0.86</f>
        <v>232.55813953488374</v>
      </c>
      <c r="H6" s="13">
        <f>C6*F6</f>
        <v>13023.255813953489</v>
      </c>
      <c r="I6" s="13">
        <f>C6*G6</f>
        <v>13023.255813953489</v>
      </c>
      <c r="J6" s="167" t="str">
        <f>INDEX($J$26:$J$47,MATCH(K6,$K$26:$K$47,0))</f>
        <v>60T</v>
      </c>
      <c r="K6" s="39" t="s">
        <v>27</v>
      </c>
      <c r="L6" s="156">
        <f>IF(ISERROR(VLOOKUP(K6,LG제품!$V$2:$X$53,2,0)),,VLOOKUP(K6,LG제품!$V$2:$X$53,2,0))</f>
        <v>6000</v>
      </c>
      <c r="M6" s="156">
        <f>IF(ISERROR(VLOOKUP(K6,LG제품!$V$2:$X$53,3,0)),,VLOOKUP(K6,LG제품!$V$2:$X$53,3,0))</f>
        <v>6800</v>
      </c>
      <c r="N6" s="39">
        <v>3</v>
      </c>
      <c r="O6" s="156">
        <f>L6*N6</f>
        <v>18000</v>
      </c>
      <c r="P6" s="156">
        <f>M6*N6</f>
        <v>20400</v>
      </c>
      <c r="Q6" s="174"/>
      <c r="R6" s="109"/>
      <c r="S6" s="64"/>
      <c r="T6" s="64"/>
      <c r="U6" s="73"/>
      <c r="V6" s="76"/>
      <c r="W6" s="76"/>
      <c r="X6" s="62"/>
    </row>
    <row r="7" spans="1:28" s="5" customFormat="1" ht="18" customHeight="1">
      <c r="A7" s="301"/>
      <c r="B7" s="303"/>
      <c r="C7" s="304"/>
      <c r="D7" s="304"/>
      <c r="E7" s="304"/>
      <c r="F7" s="330" t="s">
        <v>145</v>
      </c>
      <c r="G7" s="330"/>
      <c r="H7" s="227">
        <f>SUM(H5:H6)</f>
        <v>47906.976744186046</v>
      </c>
      <c r="I7" s="228"/>
      <c r="J7" s="222"/>
      <c r="K7" s="223"/>
      <c r="L7" s="224"/>
      <c r="M7" s="224"/>
      <c r="N7" s="210">
        <f>SUM(N5:N6)</f>
        <v>7</v>
      </c>
      <c r="O7" s="224">
        <f>SUM(O5:O6)</f>
        <v>42000</v>
      </c>
      <c r="P7" s="224">
        <f>SUM(P5:P6)</f>
        <v>47600</v>
      </c>
      <c r="Q7" s="175"/>
      <c r="R7" s="110"/>
      <c r="S7" s="65"/>
      <c r="T7" s="65"/>
      <c r="U7" s="74"/>
      <c r="V7" s="77"/>
      <c r="W7" s="77"/>
      <c r="X7" s="63"/>
    </row>
    <row r="8" spans="1:28" s="5" customFormat="1" ht="18" customHeight="1">
      <c r="A8" s="300" t="s">
        <v>146</v>
      </c>
      <c r="B8" s="39" t="s">
        <v>147</v>
      </c>
      <c r="C8" s="14">
        <v>97.5</v>
      </c>
      <c r="D8" s="155">
        <v>180</v>
      </c>
      <c r="E8" s="11">
        <f>D8</f>
        <v>180</v>
      </c>
      <c r="F8" s="12">
        <f t="shared" ref="F8:G12" si="0">D8/0.86</f>
        <v>209.30232558139537</v>
      </c>
      <c r="G8" s="12">
        <f t="shared" si="0"/>
        <v>209.30232558139537</v>
      </c>
      <c r="H8" s="13">
        <f>C8*F8</f>
        <v>20406.976744186049</v>
      </c>
      <c r="I8" s="13">
        <f>C8*G8</f>
        <v>20406.976744186049</v>
      </c>
      <c r="J8" s="167" t="str">
        <f>INDEX($J$26:$J$47,MATCH(K8,$K$26:$K$47,0))</f>
        <v>110T</v>
      </c>
      <c r="K8" s="39" t="s">
        <v>355</v>
      </c>
      <c r="L8" s="156">
        <f>IF(ISERROR(VLOOKUP(K8,LG제품!$V$2:$X$53,2,0)),,VLOOKUP(K8,LG제품!$V$2:$X$53,2,0))</f>
        <v>11000</v>
      </c>
      <c r="M8" s="156">
        <f>IF(ISERROR(VLOOKUP(K8,LG제품!$V$2:$X$53,3,0)),,VLOOKUP(K8,LG제품!$V$2:$X$53,3,0))</f>
        <v>12400</v>
      </c>
      <c r="N8" s="39">
        <v>2</v>
      </c>
      <c r="O8" s="156">
        <f>L8*N8</f>
        <v>22000</v>
      </c>
      <c r="P8" s="156">
        <f>M8*N8</f>
        <v>24800</v>
      </c>
      <c r="Q8" s="173">
        <f>INDEX($Q$26:$Q$34,MATCH(R8,$R$26:$R$34,0))</f>
        <v>24</v>
      </c>
      <c r="R8" s="108" t="s">
        <v>641</v>
      </c>
      <c r="S8" s="13">
        <f>IF(ISERROR(VLOOKUP(R8,LG제품!$Z$3:$AB$11,2,0)),,VLOOKUP(R8,LG제품!$Z$3:$AB$11,2,0))</f>
        <v>66400</v>
      </c>
      <c r="T8" s="13">
        <f>IF(ISERROR(VLOOKUP(R8,LG제품!$Z$3:$AB$11,3,0)),,VLOOKUP(R8,LG제품!$Z$3:$AB$11,3,0))</f>
        <v>68000</v>
      </c>
      <c r="U8" s="72">
        <v>1</v>
      </c>
      <c r="V8" s="75">
        <f>O13/S8</f>
        <v>1.1596385542168675</v>
      </c>
      <c r="W8" s="75">
        <f>S8/H13</f>
        <v>1.1488813777563172</v>
      </c>
      <c r="X8" s="61"/>
    </row>
    <row r="9" spans="1:28" s="5" customFormat="1" ht="18" customHeight="1">
      <c r="A9" s="301"/>
      <c r="B9" s="39" t="s">
        <v>148</v>
      </c>
      <c r="C9" s="14">
        <v>30.6</v>
      </c>
      <c r="D9" s="15">
        <v>150</v>
      </c>
      <c r="E9" s="11">
        <f>D9</f>
        <v>150</v>
      </c>
      <c r="F9" s="12">
        <f t="shared" si="0"/>
        <v>174.41860465116278</v>
      </c>
      <c r="G9" s="12">
        <f t="shared" si="0"/>
        <v>174.41860465116278</v>
      </c>
      <c r="H9" s="13">
        <f>C9*F9</f>
        <v>5337.2093023255811</v>
      </c>
      <c r="I9" s="13">
        <f>C9*G9</f>
        <v>5337.2093023255811</v>
      </c>
      <c r="J9" s="167" t="str">
        <f>INDEX($J$26:$J$47,MATCH(K9,$K$26:$K$47,0))</f>
        <v>110T</v>
      </c>
      <c r="K9" s="39" t="s">
        <v>355</v>
      </c>
      <c r="L9" s="156">
        <f>IF(ISERROR(VLOOKUP(K9,LG제품!$V$2:$X$53,2,0)),,VLOOKUP(K9,LG제품!$V$2:$X$53,2,0))</f>
        <v>11000</v>
      </c>
      <c r="M9" s="156">
        <f>IF(ISERROR(VLOOKUP(K9,LG제품!$V$2:$X$53,3,0)),,VLOOKUP(K9,LG제품!$V$2:$X$53,3,0))</f>
        <v>12400</v>
      </c>
      <c r="N9" s="39">
        <v>1</v>
      </c>
      <c r="O9" s="156">
        <f>L9*N9</f>
        <v>11000</v>
      </c>
      <c r="P9" s="156">
        <f>M9*N9</f>
        <v>12400</v>
      </c>
      <c r="Q9" s="174"/>
      <c r="R9" s="109"/>
      <c r="S9" s="64"/>
      <c r="T9" s="64"/>
      <c r="U9" s="73"/>
      <c r="V9" s="76"/>
      <c r="W9" s="76"/>
      <c r="X9" s="62"/>
    </row>
    <row r="10" spans="1:28" s="5" customFormat="1" ht="18" customHeight="1">
      <c r="A10" s="301"/>
      <c r="B10" s="39" t="s">
        <v>148</v>
      </c>
      <c r="C10" s="14">
        <v>27</v>
      </c>
      <c r="D10" s="15">
        <v>180</v>
      </c>
      <c r="E10" s="11">
        <f>D10</f>
        <v>180</v>
      </c>
      <c r="F10" s="12">
        <f t="shared" si="0"/>
        <v>209.30232558139537</v>
      </c>
      <c r="G10" s="12">
        <f t="shared" si="0"/>
        <v>209.30232558139537</v>
      </c>
      <c r="H10" s="13">
        <f>C10*F10</f>
        <v>5651.1627906976746</v>
      </c>
      <c r="I10" s="13">
        <f>C10*G10</f>
        <v>5651.1627906976746</v>
      </c>
      <c r="J10" s="167" t="str">
        <f>INDEX($J$26:$J$47,MATCH(K10,$K$26:$K$47,0))</f>
        <v>110T</v>
      </c>
      <c r="K10" s="39" t="s">
        <v>355</v>
      </c>
      <c r="L10" s="156">
        <f>IF(ISERROR(VLOOKUP(K10,LG제품!$V$2:$X$53,2,0)),,VLOOKUP(K10,LG제품!$V$2:$X$53,2,0))</f>
        <v>11000</v>
      </c>
      <c r="M10" s="156">
        <f>IF(ISERROR(VLOOKUP(K10,LG제품!$V$2:$X$53,3,0)),,VLOOKUP(K10,LG제품!$V$2:$X$53,3,0))</f>
        <v>12400</v>
      </c>
      <c r="N10" s="39">
        <v>1</v>
      </c>
      <c r="O10" s="156">
        <f>L10*N10</f>
        <v>11000</v>
      </c>
      <c r="P10" s="156">
        <f>M10*N10</f>
        <v>12400</v>
      </c>
      <c r="Q10" s="174"/>
      <c r="R10" s="109"/>
      <c r="S10" s="64"/>
      <c r="T10" s="64"/>
      <c r="U10" s="73"/>
      <c r="V10" s="76"/>
      <c r="W10" s="76"/>
      <c r="X10" s="62"/>
    </row>
    <row r="11" spans="1:28" s="5" customFormat="1" ht="18" customHeight="1">
      <c r="A11" s="301"/>
      <c r="B11" s="39" t="s">
        <v>149</v>
      </c>
      <c r="C11" s="14">
        <v>99</v>
      </c>
      <c r="D11" s="15">
        <v>180</v>
      </c>
      <c r="E11" s="11">
        <f>D11</f>
        <v>180</v>
      </c>
      <c r="F11" s="12">
        <f t="shared" si="0"/>
        <v>209.30232558139537</v>
      </c>
      <c r="G11" s="12">
        <f t="shared" si="0"/>
        <v>209.30232558139537</v>
      </c>
      <c r="H11" s="13">
        <f>C11*F11</f>
        <v>20720.930232558141</v>
      </c>
      <c r="I11" s="13">
        <f>C11*G11</f>
        <v>20720.930232558141</v>
      </c>
      <c r="J11" s="167" t="str">
        <f>INDEX($J$26:$J$47,MATCH(K11,$K$26:$K$47,0))</f>
        <v>110T</v>
      </c>
      <c r="K11" s="39" t="s">
        <v>355</v>
      </c>
      <c r="L11" s="156">
        <f>IF(ISERROR(VLOOKUP(K11,LG제품!$V$2:$X$53,2,0)),,VLOOKUP(K11,LG제품!$V$2:$X$53,2,0))</f>
        <v>11000</v>
      </c>
      <c r="M11" s="156">
        <f>IF(ISERROR(VLOOKUP(K11,LG제품!$V$2:$X$53,3,0)),,VLOOKUP(K11,LG제품!$V$2:$X$53,3,0))</f>
        <v>12400</v>
      </c>
      <c r="N11" s="39">
        <v>2</v>
      </c>
      <c r="O11" s="156">
        <f>L11*N11</f>
        <v>22000</v>
      </c>
      <c r="P11" s="156">
        <f>M11*N11</f>
        <v>24800</v>
      </c>
      <c r="Q11" s="174"/>
      <c r="R11" s="109"/>
      <c r="S11" s="64"/>
      <c r="T11" s="64"/>
      <c r="U11" s="73"/>
      <c r="V11" s="76"/>
      <c r="W11" s="76"/>
      <c r="X11" s="62"/>
    </row>
    <row r="12" spans="1:28" s="5" customFormat="1" ht="18" customHeight="1">
      <c r="A12" s="301"/>
      <c r="B12" s="39" t="s">
        <v>150</v>
      </c>
      <c r="C12" s="14">
        <v>22.2</v>
      </c>
      <c r="D12" s="15">
        <v>220</v>
      </c>
      <c r="E12" s="11">
        <f>D12</f>
        <v>220</v>
      </c>
      <c r="F12" s="12">
        <f t="shared" si="0"/>
        <v>255.81395348837211</v>
      </c>
      <c r="G12" s="12">
        <f t="shared" si="0"/>
        <v>255.81395348837211</v>
      </c>
      <c r="H12" s="13">
        <f>C12*F12</f>
        <v>5679.0697674418607</v>
      </c>
      <c r="I12" s="13">
        <f>C12*G12</f>
        <v>5679.0697674418607</v>
      </c>
      <c r="J12" s="167" t="str">
        <f>INDEX($J$26:$J$47,MATCH(K12,$K$26:$K$47,0))</f>
        <v>110T</v>
      </c>
      <c r="K12" s="39" t="s">
        <v>355</v>
      </c>
      <c r="L12" s="156">
        <f>IF(ISERROR(VLOOKUP(K12,LG제품!$V$2:$X$53,2,0)),,VLOOKUP(K12,LG제품!$V$2:$X$53,2,0))</f>
        <v>11000</v>
      </c>
      <c r="M12" s="156">
        <f>IF(ISERROR(VLOOKUP(K12,LG제품!$V$2:$X$53,3,0)),,VLOOKUP(K12,LG제품!$V$2:$X$53,3,0))</f>
        <v>12400</v>
      </c>
      <c r="N12" s="39">
        <v>1</v>
      </c>
      <c r="O12" s="156">
        <f>L12*N12</f>
        <v>11000</v>
      </c>
      <c r="P12" s="156">
        <f>M12*N12</f>
        <v>12400</v>
      </c>
      <c r="Q12" s="174"/>
      <c r="R12" s="109"/>
      <c r="S12" s="64"/>
      <c r="T12" s="64"/>
      <c r="U12" s="73"/>
      <c r="V12" s="76"/>
      <c r="W12" s="76"/>
      <c r="X12" s="62"/>
    </row>
    <row r="13" spans="1:28" s="5" customFormat="1" ht="18" customHeight="1">
      <c r="A13" s="301"/>
      <c r="B13" s="303"/>
      <c r="C13" s="304"/>
      <c r="D13" s="304"/>
      <c r="E13" s="304"/>
      <c r="F13" s="330" t="s">
        <v>145</v>
      </c>
      <c r="G13" s="330"/>
      <c r="H13" s="227">
        <f>SUM(H8:H12)</f>
        <v>57795.348837209312</v>
      </c>
      <c r="I13" s="228"/>
      <c r="J13" s="222"/>
      <c r="K13" s="223"/>
      <c r="L13" s="224"/>
      <c r="M13" s="224"/>
      <c r="N13" s="210">
        <f>SUM(N8:N12)</f>
        <v>7</v>
      </c>
      <c r="O13" s="224">
        <f>SUM(O8:O12)</f>
        <v>77000</v>
      </c>
      <c r="P13" s="224">
        <f>SUM(P8:P12)</f>
        <v>86800</v>
      </c>
      <c r="Q13" s="175"/>
      <c r="R13" s="110"/>
      <c r="S13" s="65"/>
      <c r="T13" s="65"/>
      <c r="U13" s="74"/>
      <c r="V13" s="77"/>
      <c r="W13" s="77"/>
      <c r="X13" s="63"/>
    </row>
    <row r="14" spans="1:28" s="16" customFormat="1" ht="18" customHeight="1">
      <c r="A14" s="301"/>
      <c r="B14" s="39" t="s">
        <v>151</v>
      </c>
      <c r="C14" s="14">
        <v>64.8</v>
      </c>
      <c r="D14" s="15">
        <v>120</v>
      </c>
      <c r="E14" s="11">
        <f>D14</f>
        <v>120</v>
      </c>
      <c r="F14" s="12">
        <f t="shared" ref="F14:G18" si="1">D14/0.86</f>
        <v>139.53488372093022</v>
      </c>
      <c r="G14" s="12">
        <f t="shared" si="1"/>
        <v>139.53488372093022</v>
      </c>
      <c r="H14" s="13">
        <f>C14*F14</f>
        <v>9041.8604651162786</v>
      </c>
      <c r="I14" s="13">
        <f>C14*G14</f>
        <v>9041.8604651162786</v>
      </c>
      <c r="J14" s="167" t="str">
        <f>INDEX($J$26:$J$47,MATCH(K14,$K$26:$K$47,0))</f>
        <v>60T</v>
      </c>
      <c r="K14" s="39" t="s">
        <v>27</v>
      </c>
      <c r="L14" s="156">
        <f>IF(ISERROR(VLOOKUP(K14,LG제품!$V$2:$X$53,2,0)),,VLOOKUP(K14,LG제품!$V$2:$X$53,2,0))</f>
        <v>6000</v>
      </c>
      <c r="M14" s="156">
        <f>IF(ISERROR(VLOOKUP(K14,LG제품!$V$2:$X$53,3,0)),,VLOOKUP(K14,LG제품!$V$2:$X$53,3,0))</f>
        <v>6800</v>
      </c>
      <c r="N14" s="39">
        <v>1</v>
      </c>
      <c r="O14" s="157">
        <f>L14*N14</f>
        <v>6000</v>
      </c>
      <c r="P14" s="157">
        <f>M14*N14</f>
        <v>6800</v>
      </c>
      <c r="Q14" s="173">
        <f>INDEX($Q$26:$Q$34,MATCH(R14,$R$26:$R$34,0))</f>
        <v>10</v>
      </c>
      <c r="R14" s="108" t="s">
        <v>959</v>
      </c>
      <c r="S14" s="13">
        <f>IF(ISERROR(VLOOKUP(R14,LG제품!$Z$3:$AB$11,2,0)),,VLOOKUP(R14,LG제품!$Z$3:$AB$11,2,0))</f>
        <v>28000</v>
      </c>
      <c r="T14" s="13">
        <f>IF(ISERROR(VLOOKUP(R14,LG제품!$Z$3:$AB$11,3,0)),,VLOOKUP(R14,LG제품!$Z$3:$AB$11,3,0))</f>
        <v>31500</v>
      </c>
      <c r="U14" s="72">
        <v>1</v>
      </c>
      <c r="V14" s="75">
        <f>O19/S14</f>
        <v>0.87142857142857144</v>
      </c>
      <c r="W14" s="75">
        <f>S14/H19</f>
        <v>0.91964558509013139</v>
      </c>
      <c r="X14" s="61"/>
    </row>
    <row r="15" spans="1:28" s="16" customFormat="1" ht="18" customHeight="1">
      <c r="A15" s="301"/>
      <c r="B15" s="39" t="s">
        <v>152</v>
      </c>
      <c r="C15" s="14">
        <v>16.899999999999999</v>
      </c>
      <c r="D15" s="15">
        <v>120</v>
      </c>
      <c r="E15" s="11">
        <f>D15</f>
        <v>120</v>
      </c>
      <c r="F15" s="12">
        <f t="shared" si="1"/>
        <v>139.53488372093022</v>
      </c>
      <c r="G15" s="12">
        <f t="shared" si="1"/>
        <v>139.53488372093022</v>
      </c>
      <c r="H15" s="13">
        <f>C15*F15</f>
        <v>2358.1395348837204</v>
      </c>
      <c r="I15" s="13">
        <f>C15*G15</f>
        <v>2358.1395348837204</v>
      </c>
      <c r="J15" s="167" t="str">
        <f>INDEX($J$26:$J$47,MATCH(K15,$K$26:$K$47,0))</f>
        <v>20C</v>
      </c>
      <c r="K15" s="39" t="s">
        <v>300</v>
      </c>
      <c r="L15" s="156">
        <f>IF(ISERROR(VLOOKUP(K15,LG제품!$V$2:$X$53,2,0)),,VLOOKUP(K15,LG제품!$V$2:$X$53,2,0))</f>
        <v>2000</v>
      </c>
      <c r="M15" s="156">
        <f>IF(ISERROR(VLOOKUP(K15,LG제품!$V$2:$X$53,3,0)),,VLOOKUP(K15,LG제품!$V$2:$X$53,3,0))</f>
        <v>2200</v>
      </c>
      <c r="N15" s="39">
        <v>1</v>
      </c>
      <c r="O15" s="157">
        <f>L15*N15</f>
        <v>2000</v>
      </c>
      <c r="P15" s="157">
        <f>M15*N15</f>
        <v>2200</v>
      </c>
      <c r="Q15" s="174"/>
      <c r="R15" s="109"/>
      <c r="S15" s="64"/>
      <c r="T15" s="64"/>
      <c r="U15" s="73"/>
      <c r="V15" s="76"/>
      <c r="W15" s="76"/>
      <c r="X15" s="62"/>
    </row>
    <row r="16" spans="1:28" s="16" customFormat="1" ht="18" customHeight="1">
      <c r="A16" s="301"/>
      <c r="B16" s="39" t="s">
        <v>153</v>
      </c>
      <c r="C16" s="14">
        <v>20</v>
      </c>
      <c r="D16" s="15">
        <v>160</v>
      </c>
      <c r="E16" s="11">
        <f>D16</f>
        <v>160</v>
      </c>
      <c r="F16" s="12">
        <f t="shared" si="1"/>
        <v>186.04651162790697</v>
      </c>
      <c r="G16" s="12">
        <f t="shared" si="1"/>
        <v>186.04651162790697</v>
      </c>
      <c r="H16" s="13">
        <f>C16*F16</f>
        <v>3720.9302325581393</v>
      </c>
      <c r="I16" s="13">
        <f>C16*G16</f>
        <v>3720.9302325581393</v>
      </c>
      <c r="J16" s="167" t="str">
        <f>INDEX($J$26:$J$47,MATCH(K16,$K$26:$K$47,0))</f>
        <v>60T</v>
      </c>
      <c r="K16" s="39" t="s">
        <v>27</v>
      </c>
      <c r="L16" s="156">
        <f>IF(ISERROR(VLOOKUP(K16,LG제품!$V$2:$X$53,2,0)),,VLOOKUP(K16,LG제품!$V$2:$X$53,2,0))</f>
        <v>6000</v>
      </c>
      <c r="M16" s="156">
        <f>IF(ISERROR(VLOOKUP(K16,LG제품!$V$2:$X$53,3,0)),,VLOOKUP(K16,LG제품!$V$2:$X$53,3,0))</f>
        <v>6800</v>
      </c>
      <c r="N16" s="39">
        <v>1</v>
      </c>
      <c r="O16" s="157">
        <f>L16*N16</f>
        <v>6000</v>
      </c>
      <c r="P16" s="157">
        <f>M16*N16</f>
        <v>6800</v>
      </c>
      <c r="Q16" s="174"/>
      <c r="R16" s="109"/>
      <c r="S16" s="64"/>
      <c r="T16" s="64"/>
      <c r="U16" s="73"/>
      <c r="V16" s="76"/>
      <c r="W16" s="76"/>
      <c r="X16" s="62"/>
    </row>
    <row r="17" spans="1:24" s="17" customFormat="1" ht="18" customHeight="1">
      <c r="A17" s="301"/>
      <c r="B17" s="39" t="s">
        <v>154</v>
      </c>
      <c r="C17" s="14">
        <v>20</v>
      </c>
      <c r="D17" s="15">
        <v>170</v>
      </c>
      <c r="E17" s="11">
        <f>D17</f>
        <v>170</v>
      </c>
      <c r="F17" s="12">
        <f t="shared" si="1"/>
        <v>197.67441860465118</v>
      </c>
      <c r="G17" s="12">
        <f t="shared" si="1"/>
        <v>197.67441860465118</v>
      </c>
      <c r="H17" s="13">
        <f>C17*F17</f>
        <v>3953.4883720930238</v>
      </c>
      <c r="I17" s="13">
        <f>C17*G17</f>
        <v>3953.4883720930238</v>
      </c>
      <c r="J17" s="167" t="str">
        <f>INDEX($J$26:$J$47,MATCH(K17,$K$26:$K$47,0))</f>
        <v>52T</v>
      </c>
      <c r="K17" s="39" t="s">
        <v>105</v>
      </c>
      <c r="L17" s="156">
        <f>IF(ISERROR(VLOOKUP(K17,LG제품!$V$2:$X$53,2,0)),,VLOOKUP(K17,LG제품!$V$2:$X$53,2,0))</f>
        <v>5200</v>
      </c>
      <c r="M17" s="156">
        <f>IF(ISERROR(VLOOKUP(K17,LG제품!$V$2:$X$53,3,0)),,VLOOKUP(K17,LG제품!$V$2:$X$53,3,0))</f>
        <v>5900</v>
      </c>
      <c r="N17" s="39">
        <v>1</v>
      </c>
      <c r="O17" s="157">
        <f>L17*N17</f>
        <v>5200</v>
      </c>
      <c r="P17" s="157">
        <f>M17*N17</f>
        <v>5900</v>
      </c>
      <c r="Q17" s="174"/>
      <c r="R17" s="109"/>
      <c r="S17" s="64"/>
      <c r="T17" s="64"/>
      <c r="U17" s="73"/>
      <c r="V17" s="76"/>
      <c r="W17" s="76"/>
      <c r="X17" s="62"/>
    </row>
    <row r="18" spans="1:24" s="17" customFormat="1" ht="18" customHeight="1">
      <c r="A18" s="301"/>
      <c r="B18" s="39" t="s">
        <v>155</v>
      </c>
      <c r="C18" s="14">
        <v>65.2</v>
      </c>
      <c r="D18" s="15">
        <v>150</v>
      </c>
      <c r="E18" s="11">
        <f>D18</f>
        <v>150</v>
      </c>
      <c r="F18" s="12">
        <f t="shared" si="1"/>
        <v>174.41860465116278</v>
      </c>
      <c r="G18" s="12">
        <f t="shared" si="1"/>
        <v>174.41860465116278</v>
      </c>
      <c r="H18" s="13">
        <f>C18*F18</f>
        <v>11372.093023255813</v>
      </c>
      <c r="I18" s="13">
        <f>C18*G18</f>
        <v>11372.093023255813</v>
      </c>
      <c r="J18" s="167" t="str">
        <f>INDEX($J$26:$J$47,MATCH(K18,$K$26:$K$47,0))</f>
        <v>52T</v>
      </c>
      <c r="K18" s="39" t="s">
        <v>105</v>
      </c>
      <c r="L18" s="156">
        <f>IF(ISERROR(VLOOKUP(K18,LG제품!$V$2:$X$53,2,0)),,VLOOKUP(K18,LG제품!$V$2:$X$53,2,0))</f>
        <v>5200</v>
      </c>
      <c r="M18" s="156">
        <f>IF(ISERROR(VLOOKUP(K18,LG제품!$V$2:$X$53,3,0)),,VLOOKUP(K18,LG제품!$V$2:$X$53,3,0))</f>
        <v>5900</v>
      </c>
      <c r="N18" s="39">
        <v>1</v>
      </c>
      <c r="O18" s="157">
        <f>L18*N18</f>
        <v>5200</v>
      </c>
      <c r="P18" s="157">
        <f>M18*N18</f>
        <v>5900</v>
      </c>
      <c r="Q18" s="174"/>
      <c r="R18" s="109"/>
      <c r="S18" s="64"/>
      <c r="T18" s="64"/>
      <c r="U18" s="73"/>
      <c r="V18" s="76"/>
      <c r="W18" s="76"/>
      <c r="X18" s="62"/>
    </row>
    <row r="19" spans="1:24" s="5" customFormat="1" ht="18" customHeight="1">
      <c r="A19" s="302"/>
      <c r="B19" s="303"/>
      <c r="C19" s="304"/>
      <c r="D19" s="304"/>
      <c r="E19" s="304"/>
      <c r="F19" s="330" t="s">
        <v>145</v>
      </c>
      <c r="G19" s="330"/>
      <c r="H19" s="227">
        <f>SUM(H14:H18)</f>
        <v>30446.511627906977</v>
      </c>
      <c r="I19" s="228"/>
      <c r="J19" s="222"/>
      <c r="K19" s="223"/>
      <c r="L19" s="224"/>
      <c r="M19" s="224"/>
      <c r="N19" s="210">
        <f>SUM(N14:N18)</f>
        <v>5</v>
      </c>
      <c r="O19" s="224">
        <f>SUM(O14:O18)</f>
        <v>24400</v>
      </c>
      <c r="P19" s="224">
        <f>SUM(P14:P18)</f>
        <v>27600</v>
      </c>
      <c r="Q19" s="175"/>
      <c r="R19" s="110"/>
      <c r="S19" s="65"/>
      <c r="T19" s="65"/>
      <c r="U19" s="74"/>
      <c r="V19" s="77"/>
      <c r="W19" s="77"/>
      <c r="X19" s="63"/>
    </row>
    <row r="20" spans="1:24" s="5" customFormat="1" ht="18" customHeight="1">
      <c r="A20" s="2"/>
      <c r="B20" s="2"/>
      <c r="C20" s="8"/>
      <c r="D20" s="8"/>
      <c r="E20" s="8"/>
      <c r="F20" s="8"/>
      <c r="G20" s="8"/>
      <c r="H20" s="8"/>
      <c r="I20" s="8"/>
      <c r="J20" s="166"/>
      <c r="K20" s="2"/>
      <c r="L20" s="6"/>
      <c r="M20" s="6"/>
      <c r="N20" s="30">
        <f>SUM(N19,N13,N7)</f>
        <v>19</v>
      </c>
      <c r="O20" s="6"/>
      <c r="P20" s="6"/>
      <c r="Q20" s="172"/>
      <c r="S20" s="6"/>
      <c r="T20" s="6"/>
      <c r="U20" s="31">
        <f>SUM(U5:U19)</f>
        <v>3</v>
      </c>
    </row>
    <row r="21" spans="1:24" s="17" customFormat="1" ht="14.1" customHeight="1">
      <c r="A21" s="16"/>
      <c r="C21" s="18"/>
      <c r="D21" s="18"/>
      <c r="E21" s="18"/>
      <c r="F21" s="18"/>
      <c r="G21" s="18"/>
      <c r="H21" s="18"/>
      <c r="I21" s="18"/>
      <c r="J21" s="182"/>
      <c r="L21" s="19"/>
      <c r="M21" s="19"/>
      <c r="N21" s="2"/>
      <c r="O21" s="19"/>
      <c r="P21" s="19"/>
      <c r="Q21" s="172"/>
      <c r="S21" s="19"/>
      <c r="T21" s="19"/>
      <c r="U21" s="19"/>
    </row>
    <row r="22" spans="1:24" s="17" customFormat="1" ht="14.1" customHeight="1">
      <c r="A22" s="16"/>
      <c r="C22" s="18"/>
      <c r="D22" s="18"/>
      <c r="E22" s="18"/>
      <c r="F22" s="18"/>
      <c r="G22" s="18"/>
      <c r="H22" s="18"/>
      <c r="I22" s="18"/>
      <c r="J22" s="182"/>
      <c r="L22" s="19"/>
      <c r="M22" s="19"/>
      <c r="N22" s="2"/>
      <c r="O22" s="19"/>
      <c r="P22" s="19"/>
      <c r="Q22" s="172"/>
      <c r="S22" s="19"/>
      <c r="T22" s="19"/>
      <c r="U22" s="19"/>
    </row>
    <row r="23" spans="1:24" s="17" customFormat="1" ht="14.1" customHeight="1">
      <c r="A23" s="16"/>
      <c r="C23" s="18"/>
      <c r="D23" s="18"/>
      <c r="E23" s="18"/>
      <c r="F23" s="18"/>
      <c r="G23" s="18"/>
      <c r="H23" s="18"/>
      <c r="I23" s="18"/>
      <c r="J23" s="182"/>
      <c r="L23" s="19"/>
      <c r="M23" s="19"/>
      <c r="N23" s="2"/>
      <c r="O23" s="19"/>
      <c r="P23" s="19"/>
      <c r="Q23" s="172"/>
      <c r="S23" s="19"/>
      <c r="T23" s="19"/>
      <c r="U23" s="19"/>
    </row>
    <row r="24" spans="1:24" s="17" customFormat="1" ht="14.1" customHeight="1">
      <c r="A24" s="16"/>
      <c r="C24" s="18"/>
      <c r="D24" s="18"/>
      <c r="E24" s="18"/>
      <c r="F24" s="18"/>
      <c r="G24" s="18"/>
      <c r="H24" s="18"/>
      <c r="I24" s="18"/>
      <c r="J24" s="182"/>
      <c r="L24" s="19"/>
      <c r="M24" s="19"/>
      <c r="N24" s="2"/>
      <c r="O24" s="19"/>
      <c r="P24" s="19"/>
      <c r="Q24" s="172"/>
      <c r="S24" s="19"/>
      <c r="T24" s="19"/>
      <c r="U24" s="19"/>
    </row>
    <row r="25" spans="1:24" s="5" customFormat="1" ht="18" customHeight="1">
      <c r="A25" s="2"/>
      <c r="B25" s="2"/>
      <c r="C25" s="8"/>
      <c r="D25" s="8"/>
      <c r="E25" s="8"/>
      <c r="F25" s="8"/>
      <c r="G25" s="8"/>
      <c r="H25" s="8"/>
      <c r="I25" s="8"/>
      <c r="J25" s="310" t="s">
        <v>196</v>
      </c>
      <c r="K25" s="311"/>
      <c r="L25" s="312"/>
      <c r="M25" s="6"/>
      <c r="O25" s="6"/>
      <c r="P25" s="6"/>
      <c r="Q25" s="310" t="s">
        <v>197</v>
      </c>
      <c r="R25" s="311"/>
      <c r="S25" s="312"/>
      <c r="T25" s="6"/>
      <c r="U25" s="243" t="s">
        <v>1160</v>
      </c>
      <c r="V25" s="47" t="s">
        <v>1161</v>
      </c>
    </row>
    <row r="26" spans="1:24" s="5" customFormat="1" ht="18" customHeight="1">
      <c r="A26" s="2"/>
      <c r="B26" s="2"/>
      <c r="C26" s="8"/>
      <c r="D26" s="8"/>
      <c r="E26" s="8"/>
      <c r="F26" s="8"/>
      <c r="G26" s="8"/>
      <c r="H26" s="8"/>
      <c r="I26" s="24"/>
      <c r="J26" s="170" t="s">
        <v>308</v>
      </c>
      <c r="K26" s="25" t="s">
        <v>300</v>
      </c>
      <c r="L26" s="46">
        <f t="shared" ref="L26:L47" si="2">SUMPRODUCT(($K$5:$K$19=K26)*($N$5:$N$19))</f>
        <v>1</v>
      </c>
      <c r="M26" s="26"/>
      <c r="N26" s="27"/>
      <c r="O26" s="26"/>
      <c r="P26" s="26"/>
      <c r="Q26" s="237"/>
      <c r="R26" s="238" t="s">
        <v>968</v>
      </c>
      <c r="S26" s="239"/>
      <c r="T26" s="26"/>
      <c r="U26" s="243"/>
      <c r="V26" s="47"/>
    </row>
    <row r="27" spans="1:24" s="5" customFormat="1" ht="18" customHeight="1">
      <c r="A27" s="2"/>
      <c r="B27" s="2"/>
      <c r="C27" s="8"/>
      <c r="D27" s="8"/>
      <c r="E27" s="8"/>
      <c r="F27" s="8"/>
      <c r="G27" s="8"/>
      <c r="H27" s="8"/>
      <c r="I27" s="24"/>
      <c r="J27" s="170" t="s">
        <v>309</v>
      </c>
      <c r="K27" s="25" t="s">
        <v>94</v>
      </c>
      <c r="L27" s="46">
        <f t="shared" si="2"/>
        <v>0</v>
      </c>
      <c r="M27" s="26"/>
      <c r="N27" s="27"/>
      <c r="O27" s="26"/>
      <c r="P27" s="26"/>
      <c r="Q27" s="177">
        <v>8</v>
      </c>
      <c r="R27" s="29" t="s">
        <v>957</v>
      </c>
      <c r="S27" s="46">
        <f t="shared" ref="S27:S34" si="3">SUMPRODUCT(($R$5:$R$19=R27)*($U$5:$U$19))</f>
        <v>0</v>
      </c>
      <c r="T27" s="26"/>
      <c r="U27" s="243" t="str">
        <f>MID(R27,5,2)</f>
        <v>08</v>
      </c>
      <c r="V27" s="47">
        <f t="shared" ref="V27:V34" si="4">U27*S27</f>
        <v>0</v>
      </c>
    </row>
    <row r="28" spans="1:24" s="5" customFormat="1" ht="18" customHeight="1">
      <c r="A28" s="2"/>
      <c r="B28" s="2"/>
      <c r="C28" s="8"/>
      <c r="D28" s="8"/>
      <c r="E28" s="8"/>
      <c r="F28" s="8"/>
      <c r="G28" s="8"/>
      <c r="H28" s="8"/>
      <c r="I28" s="24"/>
      <c r="J28" s="170" t="s">
        <v>310</v>
      </c>
      <c r="K28" s="25" t="s">
        <v>301</v>
      </c>
      <c r="L28" s="46">
        <f t="shared" si="2"/>
        <v>0</v>
      </c>
      <c r="M28" s="26"/>
      <c r="N28" s="27"/>
      <c r="O28" s="26"/>
      <c r="P28" s="26"/>
      <c r="Q28" s="177">
        <v>10</v>
      </c>
      <c r="R28" s="29" t="s">
        <v>959</v>
      </c>
      <c r="S28" s="46">
        <f t="shared" si="3"/>
        <v>1</v>
      </c>
      <c r="T28" s="26"/>
      <c r="U28" s="243" t="str">
        <f>MID(R28,5,2)</f>
        <v>10</v>
      </c>
      <c r="V28" s="47">
        <f t="shared" si="4"/>
        <v>10</v>
      </c>
    </row>
    <row r="29" spans="1:24" s="5" customFormat="1" ht="18" customHeight="1">
      <c r="A29" s="2"/>
      <c r="B29" s="2"/>
      <c r="C29" s="8"/>
      <c r="D29" s="8"/>
      <c r="E29" s="8"/>
      <c r="F29" s="8"/>
      <c r="G29" s="8"/>
      <c r="H29" s="8"/>
      <c r="I29" s="24"/>
      <c r="J29" s="170" t="s">
        <v>311</v>
      </c>
      <c r="K29" s="25" t="s">
        <v>194</v>
      </c>
      <c r="L29" s="46">
        <f t="shared" si="2"/>
        <v>0</v>
      </c>
      <c r="M29" s="26"/>
      <c r="N29" s="27"/>
      <c r="O29" s="26"/>
      <c r="P29" s="26"/>
      <c r="Q29" s="177">
        <v>12</v>
      </c>
      <c r="R29" s="29" t="s">
        <v>961</v>
      </c>
      <c r="S29" s="46">
        <f t="shared" si="3"/>
        <v>0</v>
      </c>
      <c r="T29" s="26"/>
      <c r="U29" s="243" t="str">
        <f>MID(R29,5,2)</f>
        <v>12</v>
      </c>
      <c r="V29" s="47">
        <f t="shared" si="4"/>
        <v>0</v>
      </c>
    </row>
    <row r="30" spans="1:24" s="5" customFormat="1" ht="18" customHeight="1">
      <c r="A30" s="2"/>
      <c r="B30" s="2"/>
      <c r="C30" s="8"/>
      <c r="D30" s="8"/>
      <c r="E30" s="8"/>
      <c r="F30" s="8"/>
      <c r="G30" s="8"/>
      <c r="H30" s="8"/>
      <c r="I30" s="24"/>
      <c r="J30" s="170" t="s">
        <v>312</v>
      </c>
      <c r="K30" s="25" t="s">
        <v>302</v>
      </c>
      <c r="L30" s="46">
        <f t="shared" si="2"/>
        <v>0</v>
      </c>
      <c r="M30" s="26"/>
      <c r="N30" s="27"/>
      <c r="O30" s="26"/>
      <c r="P30" s="26"/>
      <c r="Q30" s="177">
        <v>20</v>
      </c>
      <c r="R30" s="29" t="s">
        <v>963</v>
      </c>
      <c r="S30" s="46">
        <f t="shared" si="3"/>
        <v>0</v>
      </c>
      <c r="T30" s="26"/>
      <c r="U30" s="243" t="str">
        <f>MID(R30,5,2)</f>
        <v>20</v>
      </c>
      <c r="V30" s="47">
        <f t="shared" si="4"/>
        <v>0</v>
      </c>
    </row>
    <row r="31" spans="1:24" s="5" customFormat="1" ht="18" customHeight="1">
      <c r="A31" s="2"/>
      <c r="B31" s="2"/>
      <c r="C31" s="8"/>
      <c r="D31" s="8"/>
      <c r="E31" s="8"/>
      <c r="F31" s="8"/>
      <c r="G31" s="8"/>
      <c r="H31" s="8"/>
      <c r="I31" s="24"/>
      <c r="J31" s="170" t="s">
        <v>313</v>
      </c>
      <c r="K31" s="25" t="s">
        <v>303</v>
      </c>
      <c r="L31" s="46">
        <f t="shared" si="2"/>
        <v>0</v>
      </c>
      <c r="M31" s="26"/>
      <c r="N31" s="27"/>
      <c r="O31" s="26"/>
      <c r="P31" s="26"/>
      <c r="Q31" s="237"/>
      <c r="R31" s="238" t="s">
        <v>969</v>
      </c>
      <c r="S31" s="239">
        <f t="shared" si="3"/>
        <v>0</v>
      </c>
      <c r="T31" s="26"/>
      <c r="U31" s="243"/>
      <c r="V31" s="47"/>
    </row>
    <row r="32" spans="1:24" s="5" customFormat="1" ht="18" customHeight="1">
      <c r="A32" s="2"/>
      <c r="B32" s="2"/>
      <c r="C32" s="8"/>
      <c r="D32" s="8"/>
      <c r="E32" s="8"/>
      <c r="F32" s="8"/>
      <c r="G32" s="8"/>
      <c r="H32" s="8"/>
      <c r="I32" s="24"/>
      <c r="J32" s="170" t="s">
        <v>314</v>
      </c>
      <c r="K32" s="25" t="s">
        <v>356</v>
      </c>
      <c r="L32" s="46">
        <f t="shared" si="2"/>
        <v>0</v>
      </c>
      <c r="M32" s="26"/>
      <c r="N32" s="27"/>
      <c r="O32" s="26"/>
      <c r="P32" s="26"/>
      <c r="Q32" s="177">
        <v>20</v>
      </c>
      <c r="R32" s="29" t="s">
        <v>441</v>
      </c>
      <c r="S32" s="46">
        <f t="shared" si="3"/>
        <v>1</v>
      </c>
      <c r="T32" s="26"/>
      <c r="U32" s="243" t="str">
        <f>MID(R32,5,2)</f>
        <v>20</v>
      </c>
      <c r="V32" s="47">
        <f t="shared" si="4"/>
        <v>20</v>
      </c>
    </row>
    <row r="33" spans="10:22" s="5" customFormat="1" ht="18" customHeight="1">
      <c r="J33" s="170" t="s">
        <v>315</v>
      </c>
      <c r="K33" s="25" t="s">
        <v>212</v>
      </c>
      <c r="L33" s="46">
        <f t="shared" si="2"/>
        <v>0</v>
      </c>
      <c r="M33" s="26"/>
      <c r="N33" s="27"/>
      <c r="O33" s="26"/>
      <c r="P33" s="26"/>
      <c r="Q33" s="177">
        <v>24</v>
      </c>
      <c r="R33" s="29" t="s">
        <v>641</v>
      </c>
      <c r="S33" s="46">
        <f t="shared" si="3"/>
        <v>1</v>
      </c>
      <c r="U33" s="243" t="str">
        <f>MID(R33,5,2)</f>
        <v>24</v>
      </c>
      <c r="V33" s="47">
        <f t="shared" si="4"/>
        <v>24</v>
      </c>
    </row>
    <row r="34" spans="10:22" s="5" customFormat="1" ht="18" customHeight="1">
      <c r="J34" s="170" t="s">
        <v>332</v>
      </c>
      <c r="K34" s="25" t="s">
        <v>213</v>
      </c>
      <c r="L34" s="46">
        <f t="shared" si="2"/>
        <v>0</v>
      </c>
      <c r="M34" s="26"/>
      <c r="N34" s="27"/>
      <c r="O34" s="26"/>
      <c r="P34" s="26"/>
      <c r="Q34" s="177">
        <v>26</v>
      </c>
      <c r="R34" s="29" t="s">
        <v>690</v>
      </c>
      <c r="S34" s="46">
        <f t="shared" si="3"/>
        <v>0</v>
      </c>
      <c r="U34" s="243" t="str">
        <f>MID(R34,5,2)</f>
        <v>26</v>
      </c>
      <c r="V34" s="47">
        <f t="shared" si="4"/>
        <v>0</v>
      </c>
    </row>
    <row r="35" spans="10:22" s="5" customFormat="1" ht="18" customHeight="1">
      <c r="J35" s="170" t="s">
        <v>333</v>
      </c>
      <c r="K35" s="25" t="s">
        <v>214</v>
      </c>
      <c r="L35" s="46">
        <f t="shared" si="2"/>
        <v>0</v>
      </c>
      <c r="M35" s="26"/>
      <c r="N35" s="27"/>
      <c r="O35" s="26"/>
      <c r="P35" s="26"/>
      <c r="Q35" s="322" t="s">
        <v>195</v>
      </c>
      <c r="R35" s="323"/>
      <c r="S35" s="217">
        <f>SUM(S26:S34)</f>
        <v>3</v>
      </c>
      <c r="U35" s="244" t="s">
        <v>1162</v>
      </c>
      <c r="V35" s="245">
        <f>SUM(V27:V34)</f>
        <v>54</v>
      </c>
    </row>
    <row r="36" spans="10:22" s="5" customFormat="1" ht="18" customHeight="1">
      <c r="J36" s="170" t="s">
        <v>354</v>
      </c>
      <c r="K36" s="25" t="s">
        <v>304</v>
      </c>
      <c r="L36" s="46">
        <f t="shared" si="2"/>
        <v>0</v>
      </c>
      <c r="M36" s="26"/>
      <c r="N36" s="27"/>
      <c r="O36" s="26"/>
      <c r="P36" s="26"/>
      <c r="Q36" s="172"/>
      <c r="S36" s="6"/>
    </row>
    <row r="37" spans="10:22" s="5" customFormat="1" ht="18" customHeight="1">
      <c r="J37" s="170" t="s">
        <v>319</v>
      </c>
      <c r="K37" s="25" t="s">
        <v>305</v>
      </c>
      <c r="L37" s="46">
        <f t="shared" si="2"/>
        <v>0</v>
      </c>
      <c r="M37" s="26"/>
      <c r="N37" s="27"/>
      <c r="O37" s="26"/>
      <c r="P37" s="26"/>
      <c r="Q37" s="172"/>
      <c r="S37" s="6"/>
    </row>
    <row r="38" spans="10:22" s="5" customFormat="1" ht="18" customHeight="1">
      <c r="J38" s="170" t="s">
        <v>320</v>
      </c>
      <c r="K38" s="25" t="s">
        <v>102</v>
      </c>
      <c r="L38" s="46">
        <f t="shared" si="2"/>
        <v>0</v>
      </c>
      <c r="M38" s="26"/>
      <c r="N38" s="27"/>
      <c r="O38" s="26"/>
      <c r="P38" s="26"/>
      <c r="Q38" s="172"/>
      <c r="S38" s="6"/>
    </row>
    <row r="39" spans="10:22" s="5" customFormat="1" ht="18" customHeight="1">
      <c r="J39" s="170" t="s">
        <v>322</v>
      </c>
      <c r="K39" s="25" t="s">
        <v>691</v>
      </c>
      <c r="L39" s="46">
        <f t="shared" si="2"/>
        <v>0</v>
      </c>
      <c r="M39" s="26"/>
      <c r="N39" s="27"/>
      <c r="O39" s="26"/>
      <c r="P39" s="26"/>
      <c r="Q39" s="172"/>
      <c r="S39" s="6"/>
    </row>
    <row r="40" spans="10:22" s="5" customFormat="1" ht="18" customHeight="1">
      <c r="J40" s="170" t="s">
        <v>323</v>
      </c>
      <c r="K40" s="25" t="s">
        <v>105</v>
      </c>
      <c r="L40" s="46">
        <f t="shared" si="2"/>
        <v>2</v>
      </c>
      <c r="M40" s="26"/>
      <c r="N40" s="27"/>
      <c r="O40" s="26"/>
      <c r="P40" s="26"/>
      <c r="Q40" s="172"/>
      <c r="S40" s="6"/>
    </row>
    <row r="41" spans="10:22" s="5" customFormat="1" ht="18" customHeight="1">
      <c r="J41" s="170" t="s">
        <v>324</v>
      </c>
      <c r="K41" s="25" t="s">
        <v>27</v>
      </c>
      <c r="L41" s="46">
        <f t="shared" si="2"/>
        <v>9</v>
      </c>
      <c r="M41" s="26"/>
      <c r="N41" s="27"/>
      <c r="O41" s="26"/>
      <c r="P41" s="26"/>
      <c r="Q41" s="172"/>
      <c r="S41" s="6"/>
    </row>
    <row r="42" spans="10:22" s="5" customFormat="1" ht="18" customHeight="1">
      <c r="J42" s="170" t="s">
        <v>325</v>
      </c>
      <c r="K42" s="25" t="s">
        <v>692</v>
      </c>
      <c r="L42" s="46">
        <f t="shared" si="2"/>
        <v>0</v>
      </c>
      <c r="M42" s="26"/>
      <c r="N42" s="27"/>
      <c r="O42" s="26"/>
      <c r="P42" s="26"/>
      <c r="Q42" s="172"/>
      <c r="S42" s="6"/>
    </row>
    <row r="43" spans="10:22" s="5" customFormat="1" ht="18" customHeight="1">
      <c r="J43" s="170" t="s">
        <v>326</v>
      </c>
      <c r="K43" s="25" t="s">
        <v>693</v>
      </c>
      <c r="L43" s="46">
        <f t="shared" si="2"/>
        <v>0</v>
      </c>
      <c r="M43" s="26"/>
      <c r="N43" s="27"/>
      <c r="O43" s="26"/>
      <c r="P43" s="26"/>
      <c r="Q43" s="172"/>
      <c r="S43" s="6"/>
    </row>
    <row r="44" spans="10:22" s="5" customFormat="1" ht="18" customHeight="1">
      <c r="J44" s="170" t="s">
        <v>327</v>
      </c>
      <c r="K44" s="25" t="s">
        <v>694</v>
      </c>
      <c r="L44" s="46">
        <f t="shared" si="2"/>
        <v>0</v>
      </c>
      <c r="M44" s="26"/>
      <c r="N44" s="27"/>
      <c r="O44" s="26"/>
      <c r="P44" s="26"/>
      <c r="Q44" s="172"/>
      <c r="S44" s="6"/>
    </row>
    <row r="45" spans="10:22" s="5" customFormat="1" ht="18" customHeight="1">
      <c r="J45" s="170" t="s">
        <v>328</v>
      </c>
      <c r="K45" s="25" t="s">
        <v>355</v>
      </c>
      <c r="L45" s="46">
        <f t="shared" si="2"/>
        <v>7</v>
      </c>
      <c r="M45" s="26"/>
      <c r="N45" s="27"/>
      <c r="O45" s="26"/>
      <c r="P45" s="26"/>
      <c r="Q45" s="172"/>
      <c r="S45" s="6"/>
    </row>
    <row r="46" spans="10:22" s="5" customFormat="1" ht="18" customHeight="1">
      <c r="J46" s="170" t="s">
        <v>329</v>
      </c>
      <c r="K46" s="25" t="s">
        <v>695</v>
      </c>
      <c r="L46" s="46">
        <f t="shared" si="2"/>
        <v>0</v>
      </c>
      <c r="M46" s="26"/>
      <c r="N46" s="27"/>
      <c r="O46" s="26"/>
      <c r="P46" s="26"/>
      <c r="Q46" s="172"/>
      <c r="S46" s="6"/>
    </row>
    <row r="47" spans="10:22" s="5" customFormat="1" ht="18" customHeight="1">
      <c r="J47" s="170" t="s">
        <v>330</v>
      </c>
      <c r="K47" s="25" t="s">
        <v>696</v>
      </c>
      <c r="L47" s="46">
        <f t="shared" si="2"/>
        <v>0</v>
      </c>
      <c r="M47" s="26"/>
      <c r="N47" s="27"/>
      <c r="O47" s="26"/>
      <c r="P47" s="26"/>
      <c r="Q47" s="172"/>
      <c r="S47" s="6"/>
    </row>
    <row r="48" spans="10:22" s="5" customFormat="1" ht="18" customHeight="1">
      <c r="J48" s="322" t="s">
        <v>195</v>
      </c>
      <c r="K48" s="323"/>
      <c r="L48" s="217">
        <f>SUM(L26:L47)</f>
        <v>19</v>
      </c>
      <c r="M48" s="26"/>
      <c r="N48" s="27"/>
      <c r="O48" s="26"/>
      <c r="P48" s="26"/>
      <c r="Q48" s="172"/>
      <c r="S48" s="6"/>
    </row>
  </sheetData>
  <mergeCells count="22">
    <mergeCell ref="J25:L25"/>
    <mergeCell ref="J48:K48"/>
    <mergeCell ref="Q25:S25"/>
    <mergeCell ref="Q35:R35"/>
    <mergeCell ref="J3:J4"/>
    <mergeCell ref="R3:R4"/>
    <mergeCell ref="F19:G19"/>
    <mergeCell ref="A5:A7"/>
    <mergeCell ref="A8:A19"/>
    <mergeCell ref="F7:G7"/>
    <mergeCell ref="B7:E7"/>
    <mergeCell ref="B13:E13"/>
    <mergeCell ref="F13:G13"/>
    <mergeCell ref="B19:E19"/>
    <mergeCell ref="X3:X4"/>
    <mergeCell ref="K3:K4"/>
    <mergeCell ref="Q3:Q4"/>
    <mergeCell ref="A3:A4"/>
    <mergeCell ref="B3:B4"/>
    <mergeCell ref="D3:E3"/>
    <mergeCell ref="F3:G3"/>
    <mergeCell ref="H3:I3"/>
  </mergeCells>
  <phoneticPr fontId="3" type="noConversion"/>
  <dataValidations count="2">
    <dataValidation type="list" allowBlank="1" showInputMessage="1" showErrorMessage="1" sqref="K49:K1048576 K1:K24 K26:K47" xr:uid="{00000000-0002-0000-0700-000000000000}">
      <formula1>지열인증실내기</formula1>
    </dataValidation>
    <dataValidation type="list" allowBlank="1" showInputMessage="1" showErrorMessage="1" sqref="R1:R24 R36:R1048576 R26:R34" xr:uid="{00000000-0002-0000-0700-000001000000}">
      <formula1>지열인증실외기</formula1>
    </dataValidation>
  </dataValidations>
  <printOptions horizontalCentered="1"/>
  <pageMargins left="0" right="0" top="0.39370078740157483" bottom="0.39370078740157483" header="0" footer="0"/>
  <pageSetup paperSize="9" scale="70" orientation="landscape" r:id="rId1"/>
  <headerFooter alignWithMargins="0">
    <oddHeader>&amp;C&amp;"Calibri"&amp;12&amp;K000000 LGE Internal Use Only&amp;1#_x000D_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9" tint="-0.249977111117893"/>
  </sheetPr>
  <dimension ref="A1:AA41"/>
  <sheetViews>
    <sheetView showGridLines="0" zoomScaleNormal="100" zoomScaleSheetLayoutView="90" workbookViewId="0">
      <selection activeCell="S3" sqref="S3"/>
    </sheetView>
  </sheetViews>
  <sheetFormatPr defaultRowHeight="18" customHeight="1"/>
  <cols>
    <col min="1" max="1" width="7" style="23" customWidth="1"/>
    <col min="2" max="2" width="15.109375" style="23" customWidth="1"/>
    <col min="3" max="7" width="7" style="22" customWidth="1"/>
    <col min="8" max="9" width="8.109375" style="22" customWidth="1"/>
    <col min="10" max="10" width="5" style="171" customWidth="1"/>
    <col min="11" max="11" width="12.21875" style="23" customWidth="1"/>
    <col min="12" max="13" width="10.109375" style="21" customWidth="1"/>
    <col min="14" max="14" width="4.44140625" style="20" customWidth="1"/>
    <col min="15" max="16" width="10.109375" style="21" customWidth="1"/>
    <col min="17" max="17" width="5" style="178" customWidth="1"/>
    <col min="18" max="18" width="12.21875" style="20" customWidth="1"/>
    <col min="19" max="20" width="10.109375" style="21" customWidth="1"/>
    <col min="21" max="21" width="4.44140625" style="21" customWidth="1"/>
    <col min="22" max="22" width="7.109375" style="20" customWidth="1"/>
    <col min="23" max="23" width="6.6640625" style="20" customWidth="1"/>
    <col min="24" max="16384" width="8.88671875" style="20"/>
  </cols>
  <sheetData>
    <row r="1" spans="1:27" s="27" customFormat="1" ht="22.5" customHeight="1">
      <c r="A1" s="1" t="s">
        <v>111</v>
      </c>
      <c r="B1" s="30"/>
      <c r="C1" s="78"/>
      <c r="D1" s="78"/>
      <c r="E1" s="78"/>
      <c r="F1" s="78"/>
      <c r="G1" s="78"/>
      <c r="H1" s="78"/>
      <c r="I1" s="78"/>
      <c r="J1" s="181"/>
      <c r="K1" s="30"/>
      <c r="L1" s="79"/>
      <c r="M1" s="79"/>
      <c r="O1" s="79"/>
      <c r="P1" s="79"/>
      <c r="Q1" s="176"/>
      <c r="S1" s="26"/>
      <c r="T1" s="26"/>
      <c r="U1" s="26"/>
      <c r="X1" s="80"/>
      <c r="Y1" s="80"/>
      <c r="Z1" s="80"/>
      <c r="AA1" s="80"/>
    </row>
    <row r="2" spans="1:27" s="5" customFormat="1" ht="11.25" customHeight="1">
      <c r="A2" s="2"/>
      <c r="B2" s="2"/>
      <c r="C2" s="8"/>
      <c r="D2" s="8"/>
      <c r="E2" s="8"/>
      <c r="F2" s="8"/>
      <c r="G2" s="8"/>
      <c r="H2" s="8"/>
      <c r="I2" s="8"/>
      <c r="J2" s="166"/>
      <c r="K2" s="2"/>
      <c r="L2" s="6"/>
      <c r="M2" s="6"/>
      <c r="O2" s="6"/>
      <c r="P2" s="6"/>
      <c r="Q2" s="172"/>
      <c r="S2" s="6"/>
      <c r="T2" s="6"/>
      <c r="U2" s="6"/>
      <c r="V2" s="9"/>
      <c r="W2" s="9" t="s">
        <v>3</v>
      </c>
      <c r="X2" s="7"/>
      <c r="Y2" s="7"/>
      <c r="Z2" s="7"/>
      <c r="AA2" s="7"/>
    </row>
    <row r="3" spans="1:27" s="5" customFormat="1" ht="18" customHeight="1">
      <c r="A3" s="320" t="s">
        <v>50</v>
      </c>
      <c r="B3" s="320" t="s">
        <v>51</v>
      </c>
      <c r="C3" s="218" t="s">
        <v>52</v>
      </c>
      <c r="D3" s="315" t="s">
        <v>53</v>
      </c>
      <c r="E3" s="315"/>
      <c r="F3" s="315" t="s">
        <v>54</v>
      </c>
      <c r="G3" s="315"/>
      <c r="H3" s="316" t="s">
        <v>98</v>
      </c>
      <c r="I3" s="316"/>
      <c r="J3" s="318" t="s">
        <v>307</v>
      </c>
      <c r="K3" s="306" t="s">
        <v>55</v>
      </c>
      <c r="L3" s="219" t="s">
        <v>56</v>
      </c>
      <c r="M3" s="219" t="s">
        <v>57</v>
      </c>
      <c r="N3" s="220" t="s">
        <v>58</v>
      </c>
      <c r="O3" s="219" t="s">
        <v>59</v>
      </c>
      <c r="P3" s="219" t="s">
        <v>60</v>
      </c>
      <c r="Q3" s="318" t="s">
        <v>307</v>
      </c>
      <c r="R3" s="306" t="s">
        <v>61</v>
      </c>
      <c r="S3" s="219" t="s">
        <v>62</v>
      </c>
      <c r="T3" s="219" t="s">
        <v>63</v>
      </c>
      <c r="U3" s="219" t="s">
        <v>58</v>
      </c>
      <c r="V3" s="317" t="s">
        <v>64</v>
      </c>
      <c r="W3" s="317" t="s">
        <v>65</v>
      </c>
    </row>
    <row r="4" spans="1:27" s="5" customFormat="1" ht="18" customHeight="1">
      <c r="A4" s="320"/>
      <c r="B4" s="320"/>
      <c r="C4" s="218" t="s">
        <v>66</v>
      </c>
      <c r="D4" s="218" t="s">
        <v>67</v>
      </c>
      <c r="E4" s="218" t="s">
        <v>68</v>
      </c>
      <c r="F4" s="218" t="s">
        <v>67</v>
      </c>
      <c r="G4" s="218" t="s">
        <v>68</v>
      </c>
      <c r="H4" s="221" t="s">
        <v>99</v>
      </c>
      <c r="I4" s="221" t="s">
        <v>100</v>
      </c>
      <c r="J4" s="319"/>
      <c r="K4" s="306"/>
      <c r="L4" s="219" t="s">
        <v>69</v>
      </c>
      <c r="M4" s="219" t="s">
        <v>69</v>
      </c>
      <c r="N4" s="220" t="s">
        <v>70</v>
      </c>
      <c r="O4" s="219" t="s">
        <v>69</v>
      </c>
      <c r="P4" s="219" t="s">
        <v>69</v>
      </c>
      <c r="Q4" s="319"/>
      <c r="R4" s="306"/>
      <c r="S4" s="219" t="s">
        <v>69</v>
      </c>
      <c r="T4" s="219" t="s">
        <v>69</v>
      </c>
      <c r="U4" s="219" t="s">
        <v>70</v>
      </c>
      <c r="V4" s="317"/>
      <c r="W4" s="317"/>
    </row>
    <row r="5" spans="1:27" s="5" customFormat="1" ht="18" customHeight="1">
      <c r="A5" s="300" t="s">
        <v>117</v>
      </c>
      <c r="B5" s="105" t="s">
        <v>118</v>
      </c>
      <c r="C5" s="10">
        <v>20</v>
      </c>
      <c r="D5" s="11">
        <v>140</v>
      </c>
      <c r="E5" s="11">
        <f>D5</f>
        <v>140</v>
      </c>
      <c r="F5" s="12">
        <f>D5/0.86</f>
        <v>162.7906976744186</v>
      </c>
      <c r="G5" s="12">
        <f>E5/0.86</f>
        <v>162.7906976744186</v>
      </c>
      <c r="H5" s="13">
        <f>C5*F5</f>
        <v>3255.8139534883721</v>
      </c>
      <c r="I5" s="13">
        <f>C5*G5</f>
        <v>3255.8139534883721</v>
      </c>
      <c r="J5" s="167" t="str">
        <f>INDEX($J$26:$J$35,MATCH(K5,$K$26:$K$35,0))</f>
        <v>Q20K</v>
      </c>
      <c r="K5" s="39" t="s">
        <v>1113</v>
      </c>
      <c r="L5" s="156">
        <f>IF(ISERROR(VLOOKUP(K5,LG제품!$M$1:$O$27,2,0)),,VLOOKUP(K5,LG제품!$M$1:$O$27,2,0))</f>
        <v>0</v>
      </c>
      <c r="M5" s="156">
        <f>IF(ISERROR(VLOOKUP(K5,LG제품!$M$1:$O$27,3,0)),,VLOOKUP(K5,LG제품!$M$1:$O$27,3,0))</f>
        <v>0</v>
      </c>
      <c r="N5" s="39">
        <v>1</v>
      </c>
      <c r="O5" s="156">
        <f t="shared" ref="O5:O6" si="0">L5*N5</f>
        <v>0</v>
      </c>
      <c r="P5" s="156">
        <f t="shared" ref="P5:P6" si="1">M5*N5</f>
        <v>0</v>
      </c>
      <c r="Q5" s="167">
        <f>INDEX($Q$26:$Q$29,MATCH(R5,$R$26:$R$29,0))</f>
        <v>1</v>
      </c>
      <c r="R5" s="108" t="s">
        <v>1180</v>
      </c>
      <c r="S5" s="13">
        <f>IF(ISERROR(VLOOKUP(R5,LG제품!$Q$1:$S$7,2,0)),,VLOOKUP(R5,LG제품!$Q$1:$S$7,2,0))</f>
        <v>7200</v>
      </c>
      <c r="T5" s="13">
        <f>IF(ISERROR(VLOOKUP(S5,LG제품!$R$3:$T$15,3,0)),,VLOOKUP(S5,LG제품!$R$3:$T$15,3,0))</f>
        <v>0</v>
      </c>
      <c r="U5" s="72">
        <v>1</v>
      </c>
      <c r="V5" s="75">
        <f>O7/S5</f>
        <v>0</v>
      </c>
      <c r="W5" s="61"/>
    </row>
    <row r="6" spans="1:27" s="5" customFormat="1" ht="18" customHeight="1">
      <c r="A6" s="301"/>
      <c r="B6" s="39" t="s">
        <v>130</v>
      </c>
      <c r="C6" s="14">
        <v>5.4</v>
      </c>
      <c r="D6" s="15">
        <v>150</v>
      </c>
      <c r="E6" s="11">
        <f>D6</f>
        <v>150</v>
      </c>
      <c r="F6" s="12">
        <f>D6/0.86</f>
        <v>174.41860465116278</v>
      </c>
      <c r="G6" s="12">
        <f>E6/0.86</f>
        <v>174.41860465116278</v>
      </c>
      <c r="H6" s="13">
        <f>C6*F6</f>
        <v>941.8604651162791</v>
      </c>
      <c r="I6" s="13">
        <f>C6*G6</f>
        <v>941.8604651162791</v>
      </c>
      <c r="J6" s="167" t="str">
        <f>INDEX($J$26:$J$35,MATCH(K6,$K$26:$K$35,0))</f>
        <v>Q60C</v>
      </c>
      <c r="K6" s="39" t="s">
        <v>1112</v>
      </c>
      <c r="L6" s="156">
        <f>IF(ISERROR(VLOOKUP(K6,LG제품!$M$1:$O$27,2,0)),,VLOOKUP(K6,LG제품!$M$1:$O$27,2,0))</f>
        <v>0</v>
      </c>
      <c r="M6" s="156">
        <f>IF(ISERROR(VLOOKUP(K6,LG제품!$M$1:$O$27,3,0)),,VLOOKUP(K6,LG제품!$M$1:$O$27,3,0))</f>
        <v>0</v>
      </c>
      <c r="N6" s="39">
        <v>1</v>
      </c>
      <c r="O6" s="156">
        <f t="shared" si="0"/>
        <v>0</v>
      </c>
      <c r="P6" s="156">
        <f t="shared" si="1"/>
        <v>0</v>
      </c>
      <c r="Q6" s="174"/>
      <c r="R6" s="109"/>
      <c r="S6" s="64"/>
      <c r="T6" s="64"/>
      <c r="U6" s="73"/>
      <c r="V6" s="76"/>
      <c r="W6" s="62"/>
    </row>
    <row r="7" spans="1:27" s="5" customFormat="1" ht="18" customHeight="1">
      <c r="A7" s="301"/>
      <c r="B7" s="321" t="s">
        <v>131</v>
      </c>
      <c r="C7" s="321"/>
      <c r="D7" s="321"/>
      <c r="E7" s="321"/>
      <c r="F7" s="321"/>
      <c r="G7" s="321"/>
      <c r="H7" s="321"/>
      <c r="I7" s="321"/>
      <c r="J7" s="222"/>
      <c r="K7" s="223"/>
      <c r="L7" s="224"/>
      <c r="M7" s="224"/>
      <c r="N7" s="210">
        <f>SUM(N5:N6)</f>
        <v>2</v>
      </c>
      <c r="O7" s="224">
        <f>SUM(O5:O6)</f>
        <v>0</v>
      </c>
      <c r="P7" s="224">
        <f>SUM(P5:P6)</f>
        <v>0</v>
      </c>
      <c r="Q7" s="175"/>
      <c r="R7" s="110"/>
      <c r="S7" s="65"/>
      <c r="T7" s="65"/>
      <c r="U7" s="74"/>
      <c r="V7" s="77"/>
      <c r="W7" s="63"/>
    </row>
    <row r="8" spans="1:27" s="5" customFormat="1" ht="18" customHeight="1">
      <c r="A8" s="300" t="s">
        <v>132</v>
      </c>
      <c r="B8" s="39" t="s">
        <v>133</v>
      </c>
      <c r="C8" s="14">
        <v>97.5</v>
      </c>
      <c r="D8" s="155">
        <v>150</v>
      </c>
      <c r="E8" s="11">
        <f>D8</f>
        <v>150</v>
      </c>
      <c r="F8" s="12">
        <f t="shared" ref="F8:G12" si="2">D8/0.86</f>
        <v>174.41860465116278</v>
      </c>
      <c r="G8" s="12">
        <f t="shared" si="2"/>
        <v>174.41860465116278</v>
      </c>
      <c r="H8" s="13">
        <f>C8*F8</f>
        <v>17005.81395348837</v>
      </c>
      <c r="I8" s="13">
        <f>C8*G8</f>
        <v>17005.81395348837</v>
      </c>
      <c r="J8" s="167" t="str">
        <f>INDEX($J$26:$J$35,MATCH(K8,$K$26:$K$35,0))</f>
        <v>Q60C</v>
      </c>
      <c r="K8" s="39" t="s">
        <v>1112</v>
      </c>
      <c r="L8" s="156">
        <f>IF(ISERROR(VLOOKUP(K8,LG제품!$M$1:$O$27,2,0)),,VLOOKUP(K8,LG제품!$M$1:$O$27,2,0))</f>
        <v>0</v>
      </c>
      <c r="M8" s="156">
        <f>IF(ISERROR(VLOOKUP(K8,LG제품!$M$1:$O$27,3,0)),,VLOOKUP(K8,LG제품!$M$1:$O$27,3,0))</f>
        <v>0</v>
      </c>
      <c r="N8" s="39">
        <v>1</v>
      </c>
      <c r="O8" s="156">
        <f>L8*N8</f>
        <v>0</v>
      </c>
      <c r="P8" s="156">
        <f>M8*N8</f>
        <v>0</v>
      </c>
      <c r="Q8" s="167">
        <f>INDEX($Q$26:$Q$29,MATCH(R8,$R$26:$R$29,0))</f>
        <v>2</v>
      </c>
      <c r="R8" s="108" t="s">
        <v>1182</v>
      </c>
      <c r="S8" s="13">
        <f>IF(ISERROR(VLOOKUP(R8,LG제품!$Q$1:$S$7,2,0)),,VLOOKUP(R8,LG제품!$Q$1:$S$7,2,0))</f>
        <v>9200</v>
      </c>
      <c r="T8" s="13">
        <f>IF(ISERROR(VLOOKUP(S8,LG제품!$R$3:$T$15,3,0)),,VLOOKUP(S8,LG제품!$R$3:$T$15,3,0))</f>
        <v>0</v>
      </c>
      <c r="U8" s="72">
        <v>1</v>
      </c>
      <c r="V8" s="75">
        <f>O13/S8</f>
        <v>0</v>
      </c>
      <c r="W8" s="61"/>
    </row>
    <row r="9" spans="1:27" s="5" customFormat="1" ht="18" customHeight="1">
      <c r="A9" s="301"/>
      <c r="B9" s="39" t="s">
        <v>134</v>
      </c>
      <c r="C9" s="14">
        <v>30.6</v>
      </c>
      <c r="D9" s="15">
        <v>150</v>
      </c>
      <c r="E9" s="11">
        <f>D9</f>
        <v>150</v>
      </c>
      <c r="F9" s="12">
        <f t="shared" si="2"/>
        <v>174.41860465116278</v>
      </c>
      <c r="G9" s="12">
        <f t="shared" si="2"/>
        <v>174.41860465116278</v>
      </c>
      <c r="H9" s="13">
        <f>C9*F9</f>
        <v>5337.2093023255811</v>
      </c>
      <c r="I9" s="13">
        <f>C9*G9</f>
        <v>5337.2093023255811</v>
      </c>
      <c r="J9" s="167" t="str">
        <f>INDEX($J$26:$J$35,MATCH(K9,$K$26:$K$35,0))</f>
        <v>Q23K</v>
      </c>
      <c r="K9" s="39" t="s">
        <v>1114</v>
      </c>
      <c r="L9" s="156">
        <f>IF(ISERROR(VLOOKUP(K9,LG제품!$M$1:$O$27,2,0)),,VLOOKUP(K9,LG제품!$M$1:$O$27,2,0))</f>
        <v>0</v>
      </c>
      <c r="M9" s="156">
        <f>IF(ISERROR(VLOOKUP(K9,LG제품!$M$1:$O$27,3,0)),,VLOOKUP(K9,LG제품!$M$1:$O$27,3,0))</f>
        <v>0</v>
      </c>
      <c r="N9" s="39">
        <v>1</v>
      </c>
      <c r="O9" s="156">
        <f t="shared" ref="O9:O12" si="3">L9*N9</f>
        <v>0</v>
      </c>
      <c r="P9" s="156">
        <f t="shared" ref="P9:P12" si="4">M9*N9</f>
        <v>0</v>
      </c>
      <c r="Q9" s="174"/>
      <c r="R9" s="109"/>
      <c r="S9" s="64"/>
      <c r="T9" s="64"/>
      <c r="U9" s="73"/>
      <c r="V9" s="76"/>
      <c r="W9" s="62"/>
    </row>
    <row r="10" spans="1:27" s="5" customFormat="1" ht="18" customHeight="1">
      <c r="A10" s="301"/>
      <c r="B10" s="39" t="s">
        <v>134</v>
      </c>
      <c r="C10" s="14">
        <v>27</v>
      </c>
      <c r="D10" s="15">
        <v>150</v>
      </c>
      <c r="E10" s="11">
        <f>D10</f>
        <v>150</v>
      </c>
      <c r="F10" s="12">
        <f t="shared" si="2"/>
        <v>174.41860465116278</v>
      </c>
      <c r="G10" s="12">
        <f t="shared" si="2"/>
        <v>174.41860465116278</v>
      </c>
      <c r="H10" s="13">
        <f>C10*F10</f>
        <v>4709.3023255813951</v>
      </c>
      <c r="I10" s="13">
        <f>C10*G10</f>
        <v>4709.3023255813951</v>
      </c>
      <c r="J10" s="167" t="str">
        <f>INDEX($J$26:$J$35,MATCH(K10,$K$26:$K$35,0))</f>
        <v>Q23K</v>
      </c>
      <c r="K10" s="39" t="s">
        <v>1114</v>
      </c>
      <c r="L10" s="156">
        <f>IF(ISERROR(VLOOKUP(K10,LG제품!$M$1:$O$27,2,0)),,VLOOKUP(K10,LG제품!$M$1:$O$27,2,0))</f>
        <v>0</v>
      </c>
      <c r="M10" s="156">
        <f>IF(ISERROR(VLOOKUP(K10,LG제품!$M$1:$O$27,3,0)),,VLOOKUP(K10,LG제품!$M$1:$O$27,3,0))</f>
        <v>0</v>
      </c>
      <c r="N10" s="39">
        <v>1</v>
      </c>
      <c r="O10" s="156">
        <f t="shared" si="3"/>
        <v>0</v>
      </c>
      <c r="P10" s="156">
        <f t="shared" si="4"/>
        <v>0</v>
      </c>
      <c r="Q10" s="174"/>
      <c r="R10" s="109"/>
      <c r="S10" s="64"/>
      <c r="T10" s="64"/>
      <c r="U10" s="73"/>
      <c r="V10" s="76"/>
      <c r="W10" s="62"/>
    </row>
    <row r="11" spans="1:27" s="5" customFormat="1" ht="18" customHeight="1">
      <c r="A11" s="301"/>
      <c r="B11" s="39" t="s">
        <v>135</v>
      </c>
      <c r="C11" s="14">
        <v>99</v>
      </c>
      <c r="D11" s="15">
        <v>150</v>
      </c>
      <c r="E11" s="11">
        <f>D11</f>
        <v>150</v>
      </c>
      <c r="F11" s="12">
        <f t="shared" si="2"/>
        <v>174.41860465116278</v>
      </c>
      <c r="G11" s="12">
        <f t="shared" si="2"/>
        <v>174.41860465116278</v>
      </c>
      <c r="H11" s="13">
        <f>C11*F11</f>
        <v>17267.441860465115</v>
      </c>
      <c r="I11" s="13">
        <f>C11*G11</f>
        <v>17267.441860465115</v>
      </c>
      <c r="J11" s="167" t="str">
        <f>INDEX($J$26:$J$35,MATCH(K11,$K$26:$K$35,0))</f>
        <v>Q20K</v>
      </c>
      <c r="K11" s="39" t="s">
        <v>1113</v>
      </c>
      <c r="L11" s="156">
        <f>IF(ISERROR(VLOOKUP(K11,LG제품!$M$1:$O$27,2,0)),,VLOOKUP(K11,LG제품!$M$1:$O$27,2,0))</f>
        <v>0</v>
      </c>
      <c r="M11" s="156">
        <f>IF(ISERROR(VLOOKUP(K11,LG제품!$M$1:$O$27,3,0)),,VLOOKUP(K11,LG제품!$M$1:$O$27,3,0))</f>
        <v>0</v>
      </c>
      <c r="N11" s="39">
        <v>1</v>
      </c>
      <c r="O11" s="156">
        <f t="shared" si="3"/>
        <v>0</v>
      </c>
      <c r="P11" s="156">
        <f t="shared" si="4"/>
        <v>0</v>
      </c>
      <c r="Q11" s="174"/>
      <c r="R11" s="109"/>
      <c r="S11" s="64"/>
      <c r="T11" s="64"/>
      <c r="U11" s="73"/>
      <c r="V11" s="76"/>
      <c r="W11" s="62"/>
    </row>
    <row r="12" spans="1:27" s="5" customFormat="1" ht="18" customHeight="1">
      <c r="A12" s="301"/>
      <c r="B12" s="39" t="s">
        <v>136</v>
      </c>
      <c r="C12" s="14">
        <v>22.2</v>
      </c>
      <c r="D12" s="15">
        <v>150</v>
      </c>
      <c r="E12" s="11">
        <f>D12</f>
        <v>150</v>
      </c>
      <c r="F12" s="12">
        <f t="shared" si="2"/>
        <v>174.41860465116278</v>
      </c>
      <c r="G12" s="12">
        <f t="shared" si="2"/>
        <v>174.41860465116278</v>
      </c>
      <c r="H12" s="13">
        <f>C12*F12</f>
        <v>3872.0930232558135</v>
      </c>
      <c r="I12" s="13">
        <f>C12*G12</f>
        <v>3872.0930232558135</v>
      </c>
      <c r="J12" s="167" t="str">
        <f>INDEX($J$26:$J$35,MATCH(K12,$K$26:$K$35,0))</f>
        <v>Q60C</v>
      </c>
      <c r="K12" s="39" t="s">
        <v>1112</v>
      </c>
      <c r="L12" s="156">
        <f>IF(ISERROR(VLOOKUP(K12,LG제품!$M$1:$O$27,2,0)),,VLOOKUP(K12,LG제품!$M$1:$O$27,2,0))</f>
        <v>0</v>
      </c>
      <c r="M12" s="156">
        <f>IF(ISERROR(VLOOKUP(K12,LG제품!$M$1:$O$27,3,0)),,VLOOKUP(K12,LG제품!$M$1:$O$27,3,0))</f>
        <v>0</v>
      </c>
      <c r="N12" s="39">
        <v>1</v>
      </c>
      <c r="O12" s="156">
        <f t="shared" si="3"/>
        <v>0</v>
      </c>
      <c r="P12" s="156">
        <f t="shared" si="4"/>
        <v>0</v>
      </c>
      <c r="Q12" s="174"/>
      <c r="R12" s="109"/>
      <c r="S12" s="64"/>
      <c r="T12" s="64"/>
      <c r="U12" s="73"/>
      <c r="V12" s="76"/>
      <c r="W12" s="62"/>
    </row>
    <row r="13" spans="1:27" s="5" customFormat="1" ht="18" customHeight="1">
      <c r="A13" s="301"/>
      <c r="B13" s="321" t="s">
        <v>131</v>
      </c>
      <c r="C13" s="321"/>
      <c r="D13" s="321"/>
      <c r="E13" s="321"/>
      <c r="F13" s="321"/>
      <c r="G13" s="321"/>
      <c r="H13" s="321"/>
      <c r="I13" s="321"/>
      <c r="J13" s="222"/>
      <c r="K13" s="223"/>
      <c r="L13" s="224"/>
      <c r="M13" s="224"/>
      <c r="N13" s="210">
        <f>SUM(N8:N12)</f>
        <v>5</v>
      </c>
      <c r="O13" s="224">
        <f>SUM(O8:O12)</f>
        <v>0</v>
      </c>
      <c r="P13" s="224">
        <f>SUM(P8:P12)</f>
        <v>0</v>
      </c>
      <c r="Q13" s="175"/>
      <c r="R13" s="110"/>
      <c r="S13" s="65"/>
      <c r="T13" s="65"/>
      <c r="U13" s="74"/>
      <c r="V13" s="77"/>
      <c r="W13" s="63"/>
    </row>
    <row r="14" spans="1:27" s="16" customFormat="1" ht="18" customHeight="1">
      <c r="A14" s="301"/>
      <c r="B14" s="39" t="s">
        <v>137</v>
      </c>
      <c r="C14" s="14">
        <v>64.8</v>
      </c>
      <c r="D14" s="15">
        <v>180</v>
      </c>
      <c r="E14" s="11">
        <f>D14</f>
        <v>180</v>
      </c>
      <c r="F14" s="12">
        <f t="shared" ref="F14:G18" si="5">D14/0.86</f>
        <v>209.30232558139537</v>
      </c>
      <c r="G14" s="12">
        <f t="shared" si="5"/>
        <v>209.30232558139537</v>
      </c>
      <c r="H14" s="13">
        <f>C14*F14</f>
        <v>13562.79069767442</v>
      </c>
      <c r="I14" s="13">
        <f>C14*G14</f>
        <v>13562.79069767442</v>
      </c>
      <c r="J14" s="167" t="str">
        <f>INDEX($J$26:$J$35,MATCH(K14,$K$26:$K$35,0))</f>
        <v>Q60C</v>
      </c>
      <c r="K14" s="39" t="s">
        <v>1112</v>
      </c>
      <c r="L14" s="156">
        <f>IF(ISERROR(VLOOKUP(K14,LG제품!$M$1:$O$27,2,0)),,VLOOKUP(K14,LG제품!$M$1:$O$27,2,0))</f>
        <v>0</v>
      </c>
      <c r="M14" s="156">
        <f>IF(ISERROR(VLOOKUP(K14,LG제품!$M$1:$O$27,3,0)),,VLOOKUP(K14,LG제품!$M$1:$O$27,3,0))</f>
        <v>0</v>
      </c>
      <c r="N14" s="39">
        <v>1</v>
      </c>
      <c r="O14" s="156">
        <f t="shared" ref="O14:O18" si="6">L14*N14</f>
        <v>0</v>
      </c>
      <c r="P14" s="156">
        <f t="shared" ref="P14:P18" si="7">M14*N14</f>
        <v>0</v>
      </c>
      <c r="Q14" s="167">
        <f>INDEX($Q$26:$Q$29,MATCH(R14,$R$26:$R$29,0))</f>
        <v>3</v>
      </c>
      <c r="R14" s="108" t="s">
        <v>1184</v>
      </c>
      <c r="S14" s="13">
        <f>IF(ISERROR(VLOOKUP(R14,LG제품!$Q$1:$S$7,2,0)),,VLOOKUP(R14,LG제품!$Q$1:$S$7,2,0))</f>
        <v>11000</v>
      </c>
      <c r="T14" s="13">
        <f>IF(ISERROR(VLOOKUP(S14,LG제품!$R$3:$T$15,3,0)),,VLOOKUP(S14,LG제품!$R$3:$T$15,3,0))</f>
        <v>0</v>
      </c>
      <c r="U14" s="72">
        <v>1</v>
      </c>
      <c r="V14" s="75">
        <f>O19/S14</f>
        <v>0</v>
      </c>
      <c r="W14" s="61"/>
    </row>
    <row r="15" spans="1:27" s="16" customFormat="1" ht="18" customHeight="1">
      <c r="A15" s="301"/>
      <c r="B15" s="39" t="s">
        <v>138</v>
      </c>
      <c r="C15" s="14">
        <v>16.899999999999999</v>
      </c>
      <c r="D15" s="15">
        <v>150</v>
      </c>
      <c r="E15" s="11">
        <f>D15</f>
        <v>150</v>
      </c>
      <c r="F15" s="12">
        <f t="shared" si="5"/>
        <v>174.41860465116278</v>
      </c>
      <c r="G15" s="12">
        <f t="shared" si="5"/>
        <v>174.41860465116278</v>
      </c>
      <c r="H15" s="13">
        <f>C15*F15</f>
        <v>2947.6744186046508</v>
      </c>
      <c r="I15" s="13">
        <f>C15*G15</f>
        <v>2947.6744186046508</v>
      </c>
      <c r="J15" s="167" t="str">
        <f>INDEX($J$26:$J$35,MATCH(K15,$K$26:$K$35,0))</f>
        <v>Q60C</v>
      </c>
      <c r="K15" s="39" t="s">
        <v>1112</v>
      </c>
      <c r="L15" s="156">
        <f>IF(ISERROR(VLOOKUP(K15,LG제품!$M$1:$O$27,2,0)),,VLOOKUP(K15,LG제품!$M$1:$O$27,2,0))</f>
        <v>0</v>
      </c>
      <c r="M15" s="156">
        <f>IF(ISERROR(VLOOKUP(K15,LG제품!$M$1:$O$27,3,0)),,VLOOKUP(K15,LG제품!$M$1:$O$27,3,0))</f>
        <v>0</v>
      </c>
      <c r="N15" s="39">
        <v>1</v>
      </c>
      <c r="O15" s="156">
        <f t="shared" si="6"/>
        <v>0</v>
      </c>
      <c r="P15" s="156">
        <f t="shared" si="7"/>
        <v>0</v>
      </c>
      <c r="Q15" s="174"/>
      <c r="R15" s="109"/>
      <c r="S15" s="64"/>
      <c r="T15" s="64"/>
      <c r="U15" s="73"/>
      <c r="V15" s="76"/>
      <c r="W15" s="62"/>
    </row>
    <row r="16" spans="1:27" s="16" customFormat="1" ht="18" customHeight="1">
      <c r="A16" s="301"/>
      <c r="B16" s="39" t="s">
        <v>139</v>
      </c>
      <c r="C16" s="14">
        <v>66.2</v>
      </c>
      <c r="D16" s="15">
        <v>160</v>
      </c>
      <c r="E16" s="11">
        <f>D16</f>
        <v>160</v>
      </c>
      <c r="F16" s="12">
        <f t="shared" si="5"/>
        <v>186.04651162790697</v>
      </c>
      <c r="G16" s="12">
        <f t="shared" si="5"/>
        <v>186.04651162790697</v>
      </c>
      <c r="H16" s="13">
        <f>C16*F16</f>
        <v>12316.279069767441</v>
      </c>
      <c r="I16" s="13">
        <f>C16*G16</f>
        <v>12316.279069767441</v>
      </c>
      <c r="J16" s="167" t="str">
        <f>INDEX($J$26:$J$35,MATCH(K16,$K$26:$K$35,0))</f>
        <v>Q60C</v>
      </c>
      <c r="K16" s="39" t="s">
        <v>1112</v>
      </c>
      <c r="L16" s="156">
        <f>IF(ISERROR(VLOOKUP(K16,LG제품!$M$1:$O$27,2,0)),,VLOOKUP(K16,LG제품!$M$1:$O$27,2,0))</f>
        <v>0</v>
      </c>
      <c r="M16" s="156">
        <f>IF(ISERROR(VLOOKUP(K16,LG제품!$M$1:$O$27,3,0)),,VLOOKUP(K16,LG제품!$M$1:$O$27,3,0))</f>
        <v>0</v>
      </c>
      <c r="N16" s="39">
        <v>1</v>
      </c>
      <c r="O16" s="156">
        <f t="shared" si="6"/>
        <v>0</v>
      </c>
      <c r="P16" s="156">
        <f t="shared" si="7"/>
        <v>0</v>
      </c>
      <c r="Q16" s="174"/>
      <c r="R16" s="109"/>
      <c r="S16" s="64"/>
      <c r="T16" s="64"/>
      <c r="U16" s="73"/>
      <c r="V16" s="76"/>
      <c r="W16" s="62"/>
    </row>
    <row r="17" spans="1:23" s="17" customFormat="1" ht="18" customHeight="1">
      <c r="A17" s="301"/>
      <c r="B17" s="39" t="s">
        <v>140</v>
      </c>
      <c r="C17" s="14">
        <v>32.200000000000003</v>
      </c>
      <c r="D17" s="15">
        <v>170</v>
      </c>
      <c r="E17" s="11">
        <f>D17</f>
        <v>170</v>
      </c>
      <c r="F17" s="12">
        <f t="shared" si="5"/>
        <v>197.67441860465118</v>
      </c>
      <c r="G17" s="12">
        <f t="shared" si="5"/>
        <v>197.67441860465118</v>
      </c>
      <c r="H17" s="13">
        <f>C17*F17</f>
        <v>6365.116279069769</v>
      </c>
      <c r="I17" s="13">
        <f>C17*G17</f>
        <v>6365.116279069769</v>
      </c>
      <c r="J17" s="167" t="str">
        <f>INDEX($J$26:$J$35,MATCH(K17,$K$26:$K$35,0))</f>
        <v>Q60C</v>
      </c>
      <c r="K17" s="39" t="s">
        <v>1112</v>
      </c>
      <c r="L17" s="156">
        <f>IF(ISERROR(VLOOKUP(K17,LG제품!$M$1:$O$27,2,0)),,VLOOKUP(K17,LG제품!$M$1:$O$27,2,0))</f>
        <v>0</v>
      </c>
      <c r="M17" s="156">
        <f>IF(ISERROR(VLOOKUP(K17,LG제품!$M$1:$O$27,3,0)),,VLOOKUP(K17,LG제품!$M$1:$O$27,3,0))</f>
        <v>0</v>
      </c>
      <c r="N17" s="39">
        <v>1</v>
      </c>
      <c r="O17" s="156">
        <f t="shared" si="6"/>
        <v>0</v>
      </c>
      <c r="P17" s="156">
        <f t="shared" si="7"/>
        <v>0</v>
      </c>
      <c r="Q17" s="174"/>
      <c r="R17" s="109"/>
      <c r="S17" s="64"/>
      <c r="T17" s="64"/>
      <c r="U17" s="73"/>
      <c r="V17" s="76"/>
      <c r="W17" s="62"/>
    </row>
    <row r="18" spans="1:23" s="17" customFormat="1" ht="18" customHeight="1">
      <c r="A18" s="301"/>
      <c r="B18" s="39" t="s">
        <v>141</v>
      </c>
      <c r="C18" s="14">
        <v>65.2</v>
      </c>
      <c r="D18" s="15">
        <v>170</v>
      </c>
      <c r="E18" s="11">
        <f>D18</f>
        <v>170</v>
      </c>
      <c r="F18" s="12">
        <f t="shared" si="5"/>
        <v>197.67441860465118</v>
      </c>
      <c r="G18" s="12">
        <f t="shared" si="5"/>
        <v>197.67441860465118</v>
      </c>
      <c r="H18" s="13">
        <f>C18*F18</f>
        <v>12888.372093023258</v>
      </c>
      <c r="I18" s="13">
        <f>C18*G18</f>
        <v>12888.372093023258</v>
      </c>
      <c r="J18" s="167" t="str">
        <f>INDEX($J$26:$J$35,MATCH(K18,$K$26:$K$35,0))</f>
        <v>Q60C</v>
      </c>
      <c r="K18" s="39" t="s">
        <v>1112</v>
      </c>
      <c r="L18" s="156">
        <f>IF(ISERROR(VLOOKUP(K18,LG제품!$M$1:$O$27,2,0)),,VLOOKUP(K18,LG제품!$M$1:$O$27,2,0))</f>
        <v>0</v>
      </c>
      <c r="M18" s="156">
        <f>IF(ISERROR(VLOOKUP(K18,LG제품!$M$1:$O$27,3,0)),,VLOOKUP(K18,LG제품!$M$1:$O$27,3,0))</f>
        <v>0</v>
      </c>
      <c r="N18" s="39">
        <v>1</v>
      </c>
      <c r="O18" s="156">
        <f t="shared" si="6"/>
        <v>0</v>
      </c>
      <c r="P18" s="156">
        <f t="shared" si="7"/>
        <v>0</v>
      </c>
      <c r="Q18" s="174"/>
      <c r="R18" s="109"/>
      <c r="S18" s="64"/>
      <c r="T18" s="64"/>
      <c r="U18" s="73"/>
      <c r="V18" s="76"/>
      <c r="W18" s="62"/>
    </row>
    <row r="19" spans="1:23" s="5" customFormat="1" ht="18" customHeight="1">
      <c r="A19" s="302"/>
      <c r="B19" s="321" t="s">
        <v>131</v>
      </c>
      <c r="C19" s="321"/>
      <c r="D19" s="321"/>
      <c r="E19" s="321"/>
      <c r="F19" s="321"/>
      <c r="G19" s="321"/>
      <c r="H19" s="321"/>
      <c r="I19" s="321"/>
      <c r="J19" s="222"/>
      <c r="K19" s="223"/>
      <c r="L19" s="224"/>
      <c r="M19" s="224"/>
      <c r="N19" s="210">
        <f>SUM(N14:N18)</f>
        <v>5</v>
      </c>
      <c r="O19" s="224">
        <f>SUM(O14:O18)</f>
        <v>0</v>
      </c>
      <c r="P19" s="224">
        <f>SUM(P14:P18)</f>
        <v>0</v>
      </c>
      <c r="Q19" s="175"/>
      <c r="R19" s="110"/>
      <c r="S19" s="65"/>
      <c r="T19" s="65"/>
      <c r="U19" s="74"/>
      <c r="V19" s="77"/>
      <c r="W19" s="63"/>
    </row>
    <row r="20" spans="1:23" s="5" customFormat="1" ht="18" customHeight="1">
      <c r="A20" s="2"/>
      <c r="B20" s="2"/>
      <c r="C20" s="8"/>
      <c r="D20" s="8"/>
      <c r="E20" s="8"/>
      <c r="F20" s="8"/>
      <c r="G20" s="8"/>
      <c r="H20" s="8"/>
      <c r="I20" s="8"/>
      <c r="J20" s="166"/>
      <c r="K20" s="2"/>
      <c r="L20" s="6"/>
      <c r="M20" s="6"/>
      <c r="N20" s="30">
        <f>SUM(N19,N13,N7)</f>
        <v>12</v>
      </c>
      <c r="O20" s="6"/>
      <c r="P20" s="6"/>
      <c r="Q20" s="172"/>
      <c r="S20" s="6"/>
      <c r="T20" s="6"/>
      <c r="U20" s="31">
        <f>SUM(U5:U19)</f>
        <v>3</v>
      </c>
    </row>
    <row r="21" spans="1:23" s="17" customFormat="1" ht="14.1" customHeight="1">
      <c r="A21" s="16"/>
      <c r="C21" s="18"/>
      <c r="D21" s="18"/>
      <c r="E21" s="18"/>
      <c r="F21" s="18"/>
      <c r="G21" s="18"/>
      <c r="H21" s="18"/>
      <c r="I21" s="18"/>
      <c r="J21" s="182"/>
      <c r="L21" s="19"/>
      <c r="M21" s="19"/>
      <c r="N21" s="2"/>
      <c r="O21" s="19"/>
      <c r="P21" s="19"/>
      <c r="Q21" s="172"/>
      <c r="S21" s="19"/>
      <c r="T21" s="19"/>
      <c r="U21" s="19"/>
    </row>
    <row r="22" spans="1:23" s="17" customFormat="1" ht="14.1" customHeight="1">
      <c r="A22" s="16"/>
      <c r="C22" s="18"/>
      <c r="D22" s="18"/>
      <c r="E22" s="18"/>
      <c r="F22" s="18"/>
      <c r="G22" s="18"/>
      <c r="H22" s="18"/>
      <c r="I22" s="18"/>
      <c r="J22" s="182"/>
      <c r="L22" s="19"/>
      <c r="M22" s="19"/>
      <c r="N22" s="2"/>
      <c r="O22" s="19"/>
      <c r="P22" s="19"/>
      <c r="Q22" s="172"/>
      <c r="S22" s="19"/>
      <c r="T22" s="19"/>
      <c r="U22" s="19"/>
    </row>
    <row r="23" spans="1:23" s="17" customFormat="1" ht="14.1" customHeight="1">
      <c r="A23" s="16"/>
      <c r="C23" s="18"/>
      <c r="D23" s="18"/>
      <c r="E23" s="18"/>
      <c r="F23" s="18"/>
      <c r="G23" s="18"/>
      <c r="H23" s="18"/>
      <c r="I23" s="18"/>
      <c r="J23" s="182"/>
      <c r="L23" s="19"/>
      <c r="M23" s="19"/>
      <c r="N23" s="2"/>
      <c r="O23" s="19"/>
      <c r="P23" s="19"/>
      <c r="Q23" s="172"/>
      <c r="S23" s="19"/>
      <c r="T23" s="19"/>
      <c r="U23" s="19"/>
    </row>
    <row r="24" spans="1:23" s="17" customFormat="1" ht="14.1" customHeight="1">
      <c r="A24" s="16"/>
      <c r="C24" s="18"/>
      <c r="D24" s="18"/>
      <c r="E24" s="18"/>
      <c r="F24" s="18"/>
      <c r="G24" s="18"/>
      <c r="H24" s="18"/>
      <c r="I24" s="18"/>
      <c r="J24" s="182"/>
      <c r="L24" s="19"/>
      <c r="M24" s="19"/>
      <c r="N24" s="2"/>
      <c r="O24" s="19"/>
      <c r="P24" s="19"/>
      <c r="Q24" s="172"/>
      <c r="S24" s="19"/>
      <c r="T24" s="19"/>
      <c r="U24" s="19"/>
    </row>
    <row r="25" spans="1:23" s="5" customFormat="1" ht="18" customHeight="1">
      <c r="A25" s="2"/>
      <c r="B25" s="2"/>
      <c r="C25" s="8"/>
      <c r="D25" s="8"/>
      <c r="E25" s="8"/>
      <c r="F25" s="8"/>
      <c r="G25" s="8"/>
      <c r="H25" s="8"/>
      <c r="I25" s="8"/>
      <c r="J25" s="310" t="s">
        <v>196</v>
      </c>
      <c r="K25" s="311"/>
      <c r="L25" s="312"/>
      <c r="M25" s="6"/>
      <c r="O25" s="6"/>
      <c r="P25" s="6"/>
      <c r="Q25" s="310" t="s">
        <v>197</v>
      </c>
      <c r="R25" s="311"/>
      <c r="S25" s="312"/>
      <c r="T25" s="6"/>
      <c r="U25" s="6"/>
    </row>
    <row r="26" spans="1:23" s="5" customFormat="1" ht="18" customHeight="1">
      <c r="A26" s="2"/>
      <c r="B26" s="2"/>
      <c r="C26" s="8"/>
      <c r="D26" s="8"/>
      <c r="E26" s="8"/>
      <c r="F26" s="8"/>
      <c r="G26" s="8"/>
      <c r="H26" s="8"/>
      <c r="I26" s="24"/>
      <c r="J26" s="170" t="s">
        <v>207</v>
      </c>
      <c r="K26" s="25" t="s">
        <v>1115</v>
      </c>
      <c r="L26" s="46">
        <f t="shared" ref="L26:L35" si="8">SUMPRODUCT(($K$5:$K$19=K26)*($N$5:$N$19))</f>
        <v>0</v>
      </c>
      <c r="M26" s="26"/>
      <c r="N26" s="27"/>
      <c r="O26" s="26"/>
      <c r="P26" s="26"/>
      <c r="Q26" s="177">
        <v>1</v>
      </c>
      <c r="R26" s="28" t="s">
        <v>1180</v>
      </c>
      <c r="S26" s="46">
        <f t="shared" ref="S26:S27" si="9">SUMPRODUCT(($R$5:$R$19=R26)*($U$5:$U$19))</f>
        <v>1</v>
      </c>
      <c r="T26" s="26"/>
      <c r="U26" s="6"/>
    </row>
    <row r="27" spans="1:23" s="5" customFormat="1" ht="18" customHeight="1">
      <c r="A27" s="2"/>
      <c r="B27" s="2"/>
      <c r="C27" s="8"/>
      <c r="D27" s="8"/>
      <c r="E27" s="8"/>
      <c r="F27" s="8"/>
      <c r="G27" s="8"/>
      <c r="H27" s="8"/>
      <c r="I27" s="24"/>
      <c r="J27" s="170" t="s">
        <v>208</v>
      </c>
      <c r="K27" s="25" t="s">
        <v>1116</v>
      </c>
      <c r="L27" s="46">
        <f t="shared" si="8"/>
        <v>0</v>
      </c>
      <c r="M27" s="26"/>
      <c r="N27" s="27"/>
      <c r="O27" s="26"/>
      <c r="P27" s="26"/>
      <c r="Q27" s="177">
        <v>2</v>
      </c>
      <c r="R27" s="29" t="s">
        <v>1182</v>
      </c>
      <c r="S27" s="46">
        <f t="shared" si="9"/>
        <v>1</v>
      </c>
      <c r="T27" s="26"/>
      <c r="U27" s="6"/>
    </row>
    <row r="28" spans="1:23" s="5" customFormat="1" ht="18" customHeight="1">
      <c r="A28" s="2"/>
      <c r="B28" s="2"/>
      <c r="C28" s="8"/>
      <c r="D28" s="8"/>
      <c r="E28" s="8"/>
      <c r="F28" s="8"/>
      <c r="G28" s="8"/>
      <c r="H28" s="8"/>
      <c r="I28" s="24"/>
      <c r="J28" s="170" t="s">
        <v>357</v>
      </c>
      <c r="K28" s="25" t="s">
        <v>1113</v>
      </c>
      <c r="L28" s="46">
        <f t="shared" si="8"/>
        <v>2</v>
      </c>
      <c r="M28" s="26"/>
      <c r="N28" s="27"/>
      <c r="O28" s="26"/>
      <c r="P28" s="26"/>
      <c r="Q28" s="177">
        <v>3</v>
      </c>
      <c r="R28" s="29" t="s">
        <v>1184</v>
      </c>
      <c r="S28" s="46">
        <f t="shared" ref="S28:S29" si="10">SUMPRODUCT(($R$5:$R$19=R28)*($U$5:$U$19))</f>
        <v>1</v>
      </c>
      <c r="T28" s="26"/>
      <c r="U28" s="6"/>
    </row>
    <row r="29" spans="1:23" s="5" customFormat="1" ht="18" customHeight="1">
      <c r="A29" s="2"/>
      <c r="B29" s="2"/>
      <c r="C29" s="8"/>
      <c r="D29" s="8"/>
      <c r="E29" s="8"/>
      <c r="F29" s="8"/>
      <c r="G29" s="8"/>
      <c r="H29" s="8"/>
      <c r="I29" s="24"/>
      <c r="J29" s="170" t="s">
        <v>922</v>
      </c>
      <c r="K29" s="25" t="s">
        <v>1114</v>
      </c>
      <c r="L29" s="46">
        <f t="shared" ref="L29" si="11">SUMPRODUCT(($K$5:$K$19=K29)*($N$5:$N$19))</f>
        <v>2</v>
      </c>
      <c r="M29" s="26"/>
      <c r="N29" s="27"/>
      <c r="O29" s="26"/>
      <c r="P29" s="26"/>
      <c r="Q29" s="183">
        <v>4</v>
      </c>
      <c r="R29" s="29" t="s">
        <v>1186</v>
      </c>
      <c r="S29" s="46">
        <f t="shared" si="10"/>
        <v>0</v>
      </c>
      <c r="T29" s="26"/>
      <c r="U29" s="6"/>
    </row>
    <row r="30" spans="1:23" s="5" customFormat="1" ht="18" customHeight="1">
      <c r="A30" s="2"/>
      <c r="B30" s="2"/>
      <c r="C30" s="8"/>
      <c r="D30" s="8"/>
      <c r="E30" s="8"/>
      <c r="F30" s="8"/>
      <c r="G30" s="8"/>
      <c r="H30" s="8"/>
      <c r="I30" s="24"/>
      <c r="J30" s="170" t="s">
        <v>341</v>
      </c>
      <c r="K30" s="25" t="s">
        <v>1117</v>
      </c>
      <c r="L30" s="46">
        <f t="shared" si="8"/>
        <v>0</v>
      </c>
      <c r="M30" s="26"/>
      <c r="N30" s="27"/>
      <c r="O30" s="26"/>
      <c r="P30" s="26"/>
      <c r="Q30" s="322" t="s">
        <v>195</v>
      </c>
      <c r="R30" s="323"/>
      <c r="S30" s="217">
        <f>SUM(S26:S29)</f>
        <v>3</v>
      </c>
      <c r="T30" s="26"/>
      <c r="U30" s="6"/>
    </row>
    <row r="31" spans="1:23" s="5" customFormat="1" ht="18" customHeight="1">
      <c r="A31" s="2"/>
      <c r="B31" s="2"/>
      <c r="C31" s="8"/>
      <c r="D31" s="8"/>
      <c r="E31" s="8"/>
      <c r="F31" s="8"/>
      <c r="G31" s="8"/>
      <c r="H31" s="8"/>
      <c r="I31" s="24"/>
      <c r="J31" s="170" t="s">
        <v>342</v>
      </c>
      <c r="K31" s="25" t="s">
        <v>1118</v>
      </c>
      <c r="L31" s="46">
        <f t="shared" si="8"/>
        <v>0</v>
      </c>
      <c r="M31" s="26"/>
      <c r="N31" s="27"/>
      <c r="O31" s="26"/>
      <c r="P31" s="26"/>
      <c r="U31" s="6"/>
    </row>
    <row r="32" spans="1:23" s="5" customFormat="1" ht="18" customHeight="1">
      <c r="A32" s="2"/>
      <c r="B32" s="2"/>
      <c r="C32" s="8"/>
      <c r="D32" s="8"/>
      <c r="E32" s="8"/>
      <c r="F32" s="8"/>
      <c r="G32" s="8"/>
      <c r="H32" s="8"/>
      <c r="I32" s="24"/>
      <c r="J32" s="170" t="s">
        <v>343</v>
      </c>
      <c r="K32" s="25" t="s">
        <v>1119</v>
      </c>
      <c r="L32" s="46">
        <f t="shared" si="8"/>
        <v>0</v>
      </c>
      <c r="M32" s="26"/>
      <c r="N32" s="27"/>
      <c r="O32" s="26"/>
      <c r="P32" s="26"/>
      <c r="U32" s="6"/>
    </row>
    <row r="33" spans="10:20" s="5" customFormat="1" ht="18" customHeight="1">
      <c r="J33" s="170" t="s">
        <v>344</v>
      </c>
      <c r="K33" s="25" t="s">
        <v>1120</v>
      </c>
      <c r="L33" s="46">
        <f t="shared" si="8"/>
        <v>0</v>
      </c>
    </row>
    <row r="34" spans="10:20" s="5" customFormat="1" ht="18" customHeight="1">
      <c r="J34" s="170" t="s">
        <v>345</v>
      </c>
      <c r="K34" s="25" t="s">
        <v>1121</v>
      </c>
      <c r="L34" s="46">
        <f t="shared" si="8"/>
        <v>0</v>
      </c>
    </row>
    <row r="35" spans="10:20" s="5" customFormat="1" ht="18" customHeight="1">
      <c r="J35" s="170" t="s">
        <v>346</v>
      </c>
      <c r="K35" s="25" t="s">
        <v>1112</v>
      </c>
      <c r="L35" s="46">
        <f t="shared" si="8"/>
        <v>8</v>
      </c>
    </row>
    <row r="36" spans="10:20" s="5" customFormat="1" ht="18" customHeight="1">
      <c r="J36" s="322" t="s">
        <v>195</v>
      </c>
      <c r="K36" s="323"/>
      <c r="L36" s="217">
        <f>SUM(L26:L35)</f>
        <v>12</v>
      </c>
    </row>
    <row r="37" spans="10:20" s="5" customFormat="1" ht="18" customHeight="1">
      <c r="J37" s="171"/>
      <c r="K37" s="23"/>
      <c r="L37" s="21"/>
    </row>
    <row r="38" spans="10:20" s="5" customFormat="1" ht="18" customHeight="1">
      <c r="J38" s="171"/>
      <c r="K38" s="23"/>
      <c r="L38" s="21"/>
    </row>
    <row r="39" spans="10:20" s="5" customFormat="1" ht="18" customHeight="1">
      <c r="J39" s="171"/>
      <c r="K39" s="23"/>
      <c r="L39" s="21"/>
    </row>
    <row r="40" spans="10:20" s="5" customFormat="1" ht="18" customHeight="1">
      <c r="J40" s="171"/>
      <c r="K40" s="23"/>
      <c r="L40" s="21"/>
      <c r="Q40" s="178"/>
      <c r="R40" s="20"/>
      <c r="S40" s="21"/>
      <c r="T40" s="21"/>
    </row>
    <row r="41" spans="10:20" s="5" customFormat="1" ht="18" customHeight="1">
      <c r="J41" s="171"/>
      <c r="K41" s="23"/>
      <c r="L41" s="21"/>
      <c r="Q41" s="178"/>
      <c r="R41" s="20"/>
      <c r="S41" s="21"/>
      <c r="T41" s="21"/>
    </row>
  </sheetData>
  <mergeCells count="20">
    <mergeCell ref="J25:L25"/>
    <mergeCell ref="Q25:S25"/>
    <mergeCell ref="J36:K36"/>
    <mergeCell ref="Q30:R30"/>
    <mergeCell ref="A5:A7"/>
    <mergeCell ref="B7:I7"/>
    <mergeCell ref="A8:A19"/>
    <mergeCell ref="B13:I13"/>
    <mergeCell ref="B19:I19"/>
    <mergeCell ref="W3:W4"/>
    <mergeCell ref="K3:K4"/>
    <mergeCell ref="Q3:Q4"/>
    <mergeCell ref="R3:R4"/>
    <mergeCell ref="V3:V4"/>
    <mergeCell ref="J3:J4"/>
    <mergeCell ref="A3:A4"/>
    <mergeCell ref="B3:B4"/>
    <mergeCell ref="D3:E3"/>
    <mergeCell ref="F3:G3"/>
    <mergeCell ref="H3:I3"/>
  </mergeCells>
  <phoneticPr fontId="3" type="noConversion"/>
  <dataValidations count="1">
    <dataValidation type="list" allowBlank="1" showInputMessage="1" showErrorMessage="1" sqref="K37:K1048576 K26:K35 K1:K24" xr:uid="{00000000-0002-0000-0800-000000000000}">
      <formula1>All실내기</formula1>
    </dataValidation>
  </dataValidations>
  <printOptions horizontalCentered="1"/>
  <pageMargins left="0" right="0" top="0.39370078740157483" bottom="0.39370078740157483" header="0" footer="0"/>
  <pageSetup paperSize="9" scale="70" orientation="landscape" r:id="rId1"/>
  <headerFooter alignWithMargins="0">
    <oddHeader>&amp;C&amp;"Calibri"&amp;12&amp;K000000 LGE Internal Use Only&amp;1#_x000D_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EA23285-0E72-4FD7-A23A-CD9A932F7D56}">
          <x14:formula1>
            <xm:f>LG제품!$Q$1:$Q$7</xm:f>
          </x14:formula1>
          <xm:sqref>R1:R1048576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9" tint="-0.249977111117893"/>
  </sheetPr>
  <dimension ref="A1:Y35"/>
  <sheetViews>
    <sheetView showGridLines="0" zoomScaleNormal="100" zoomScaleSheetLayoutView="90" workbookViewId="0">
      <selection activeCell="L5" sqref="L5:M5"/>
    </sheetView>
  </sheetViews>
  <sheetFormatPr defaultRowHeight="18" customHeight="1"/>
  <cols>
    <col min="1" max="1" width="7" style="23" customWidth="1"/>
    <col min="2" max="2" width="11.88671875" style="23" bestFit="1" customWidth="1"/>
    <col min="3" max="7" width="6.77734375" style="22" customWidth="1"/>
    <col min="8" max="9" width="7.77734375" style="22" customWidth="1"/>
    <col min="10" max="10" width="4.88671875" style="188" customWidth="1"/>
    <col min="11" max="11" width="11.77734375" style="23" customWidth="1"/>
    <col min="12" max="13" width="8.77734375" style="21" customWidth="1"/>
    <col min="14" max="14" width="4.44140625" style="20" customWidth="1"/>
    <col min="15" max="16" width="8.77734375" style="21" customWidth="1"/>
    <col min="17" max="17" width="11.88671875" style="20" hidden="1" customWidth="1"/>
    <col min="18" max="19" width="11.21875" style="21" hidden="1" customWidth="1"/>
    <col min="20" max="20" width="4.44140625" style="21" hidden="1" customWidth="1"/>
    <col min="21" max="21" width="6.6640625" style="20" hidden="1" customWidth="1"/>
    <col min="22" max="16384" width="8.88671875" style="20"/>
  </cols>
  <sheetData>
    <row r="1" spans="1:25" s="27" customFormat="1" ht="22.5" customHeight="1">
      <c r="A1" s="1" t="s">
        <v>112</v>
      </c>
      <c r="B1" s="30"/>
      <c r="C1" s="78"/>
      <c r="D1" s="78"/>
      <c r="E1" s="78"/>
      <c r="F1" s="78"/>
      <c r="G1" s="78"/>
      <c r="H1" s="78"/>
      <c r="I1" s="78"/>
      <c r="J1" s="184"/>
      <c r="K1" s="30"/>
      <c r="L1" s="79"/>
      <c r="M1" s="79"/>
      <c r="O1" s="79"/>
      <c r="P1" s="79"/>
      <c r="R1" s="26"/>
      <c r="S1" s="26"/>
      <c r="T1" s="26"/>
      <c r="V1" s="80"/>
      <c r="W1" s="80"/>
      <c r="X1" s="80"/>
      <c r="Y1" s="80"/>
    </row>
    <row r="2" spans="1:25" s="5" customFormat="1" ht="11.25" customHeight="1">
      <c r="A2" s="2"/>
      <c r="B2" s="2"/>
      <c r="C2" s="8"/>
      <c r="D2" s="8"/>
      <c r="E2" s="8"/>
      <c r="F2" s="8"/>
      <c r="G2" s="8"/>
      <c r="H2" s="8"/>
      <c r="I2" s="8"/>
      <c r="J2" s="185"/>
      <c r="K2" s="2"/>
      <c r="L2" s="6"/>
      <c r="M2" s="6"/>
      <c r="O2" s="6"/>
      <c r="P2" s="6"/>
      <c r="R2" s="6"/>
      <c r="S2" s="6"/>
      <c r="T2" s="6"/>
      <c r="U2" s="9" t="s">
        <v>3</v>
      </c>
      <c r="V2" s="7"/>
      <c r="W2" s="7"/>
      <c r="X2" s="7"/>
      <c r="Y2" s="7"/>
    </row>
    <row r="3" spans="1:25" s="5" customFormat="1" ht="18" customHeight="1">
      <c r="A3" s="320" t="s">
        <v>50</v>
      </c>
      <c r="B3" s="320" t="s">
        <v>51</v>
      </c>
      <c r="C3" s="218" t="s">
        <v>52</v>
      </c>
      <c r="D3" s="315" t="s">
        <v>53</v>
      </c>
      <c r="E3" s="315"/>
      <c r="F3" s="315" t="s">
        <v>54</v>
      </c>
      <c r="G3" s="315"/>
      <c r="H3" s="316" t="s">
        <v>98</v>
      </c>
      <c r="I3" s="316"/>
      <c r="J3" s="318" t="s">
        <v>307</v>
      </c>
      <c r="K3" s="306" t="s">
        <v>375</v>
      </c>
      <c r="L3" s="219" t="s">
        <v>56</v>
      </c>
      <c r="M3" s="219" t="s">
        <v>57</v>
      </c>
      <c r="N3" s="220" t="s">
        <v>58</v>
      </c>
      <c r="O3" s="219" t="s">
        <v>59</v>
      </c>
      <c r="P3" s="219" t="s">
        <v>60</v>
      </c>
      <c r="Q3" s="335" t="s">
        <v>61</v>
      </c>
      <c r="R3" s="32" t="s">
        <v>62</v>
      </c>
      <c r="S3" s="32" t="s">
        <v>63</v>
      </c>
      <c r="T3" s="32" t="s">
        <v>58</v>
      </c>
      <c r="U3" s="336" t="s">
        <v>65</v>
      </c>
    </row>
    <row r="4" spans="1:25" s="5" customFormat="1" ht="18" customHeight="1">
      <c r="A4" s="320"/>
      <c r="B4" s="320"/>
      <c r="C4" s="218" t="s">
        <v>66</v>
      </c>
      <c r="D4" s="218" t="s">
        <v>67</v>
      </c>
      <c r="E4" s="218" t="s">
        <v>68</v>
      </c>
      <c r="F4" s="218" t="s">
        <v>67</v>
      </c>
      <c r="G4" s="218" t="s">
        <v>68</v>
      </c>
      <c r="H4" s="221" t="s">
        <v>99</v>
      </c>
      <c r="I4" s="221" t="s">
        <v>100</v>
      </c>
      <c r="J4" s="319"/>
      <c r="K4" s="306"/>
      <c r="L4" s="219" t="s">
        <v>69</v>
      </c>
      <c r="M4" s="219" t="s">
        <v>69</v>
      </c>
      <c r="N4" s="220" t="s">
        <v>70</v>
      </c>
      <c r="O4" s="219" t="s">
        <v>69</v>
      </c>
      <c r="P4" s="219" t="s">
        <v>69</v>
      </c>
      <c r="Q4" s="335"/>
      <c r="R4" s="32" t="s">
        <v>69</v>
      </c>
      <c r="S4" s="32" t="s">
        <v>69</v>
      </c>
      <c r="T4" s="32" t="s">
        <v>70</v>
      </c>
      <c r="U4" s="336"/>
    </row>
    <row r="5" spans="1:25" s="5" customFormat="1" ht="18" customHeight="1">
      <c r="A5" s="300" t="s">
        <v>132</v>
      </c>
      <c r="B5" s="39" t="s">
        <v>113</v>
      </c>
      <c r="C5" s="14">
        <v>95.837000000000003</v>
      </c>
      <c r="D5" s="155">
        <v>150</v>
      </c>
      <c r="E5" s="11">
        <f>D5</f>
        <v>150</v>
      </c>
      <c r="F5" s="12">
        <f>D5/0.86</f>
        <v>174.41860465116278</v>
      </c>
      <c r="G5" s="12">
        <f>E5/0.86</f>
        <v>174.41860465116278</v>
      </c>
      <c r="H5" s="13">
        <f>C5*F5</f>
        <v>16715.755813953489</v>
      </c>
      <c r="I5" s="13">
        <f>C5*G5</f>
        <v>16715.755813953489</v>
      </c>
      <c r="J5" s="167" t="str">
        <f>INDEX($J$15:$J$34,MATCH(K5,$K$15:$K$34,0))</f>
        <v>P13</v>
      </c>
      <c r="K5" s="47" t="s">
        <v>915</v>
      </c>
      <c r="L5" s="13">
        <f>IF(ISERROR(VLOOKUP(K5,LG제품!$Q$11:$S$50,2,0)),,VLOOKUP(K5,LG제품!$Q$11:$S$50,2,0))</f>
        <v>6000</v>
      </c>
      <c r="M5" s="13">
        <f>IF(ISERROR(VLOOKUP(K5,LG제품!$Q$11:$S$50,3,0)),,VLOOKUP(K5,LG제품!$Q$11:$S$50,3,0))</f>
        <v>7200</v>
      </c>
      <c r="N5" s="39">
        <v>2</v>
      </c>
      <c r="O5" s="156">
        <f>L5*N5</f>
        <v>12000</v>
      </c>
      <c r="P5" s="156">
        <f>M5*N5</f>
        <v>14400</v>
      </c>
      <c r="Q5" s="108"/>
      <c r="R5" s="158"/>
      <c r="S5" s="158"/>
      <c r="T5" s="72"/>
      <c r="U5" s="61"/>
    </row>
    <row r="6" spans="1:25" s="5" customFormat="1" ht="18" customHeight="1">
      <c r="A6" s="301"/>
      <c r="B6" s="321" t="s">
        <v>131</v>
      </c>
      <c r="C6" s="321"/>
      <c r="D6" s="321"/>
      <c r="E6" s="321"/>
      <c r="F6" s="321"/>
      <c r="G6" s="321"/>
      <c r="H6" s="321"/>
      <c r="I6" s="321"/>
      <c r="J6" s="222"/>
      <c r="K6" s="223"/>
      <c r="L6" s="224"/>
      <c r="M6" s="224"/>
      <c r="N6" s="210">
        <f>SUM(N5:N5)</f>
        <v>2</v>
      </c>
      <c r="O6" s="224">
        <f>SUM(O5:O5)</f>
        <v>12000</v>
      </c>
      <c r="P6" s="224">
        <f>SUM(P5:P5)</f>
        <v>14400</v>
      </c>
      <c r="Q6" s="110"/>
      <c r="R6" s="65"/>
      <c r="S6" s="65"/>
      <c r="T6" s="74"/>
      <c r="U6" s="63"/>
    </row>
    <row r="7" spans="1:25" s="16" customFormat="1" ht="18" customHeight="1">
      <c r="A7" s="301"/>
      <c r="B7" s="39" t="s">
        <v>156</v>
      </c>
      <c r="C7" s="14">
        <v>165</v>
      </c>
      <c r="D7" s="15">
        <v>210</v>
      </c>
      <c r="E7" s="11"/>
      <c r="F7" s="12">
        <f>D7/0.86</f>
        <v>244.18604651162792</v>
      </c>
      <c r="G7" s="12">
        <f>E7/0.86</f>
        <v>0</v>
      </c>
      <c r="H7" s="13">
        <f>C7*F7</f>
        <v>40290.69767441861</v>
      </c>
      <c r="I7" s="13">
        <f>C7*G7</f>
        <v>0</v>
      </c>
      <c r="J7" s="167" t="str">
        <f>INDEX($J$15:$J$34,MATCH(K7,$K$15:$K$34,0))</f>
        <v>P10</v>
      </c>
      <c r="K7" s="47" t="s">
        <v>699</v>
      </c>
      <c r="L7" s="13">
        <f>IF(ISERROR(VLOOKUP(K7,LG제품!$Q$11:$S$50,2,0)),,VLOOKUP(K7,LG제품!$Q$11:$S$50,2,0))</f>
        <v>23000</v>
      </c>
      <c r="M7" s="13">
        <f>IF(ISERROR(VLOOKUP(K7,LG제품!$Q$11:$S$50,3,0)),,VLOOKUP(K7,LG제품!$Q$11:$S$50,3,0))</f>
        <v>26000</v>
      </c>
      <c r="N7" s="39">
        <v>2</v>
      </c>
      <c r="O7" s="157">
        <f>L7*N7</f>
        <v>46000</v>
      </c>
      <c r="P7" s="157">
        <f>M7*N7</f>
        <v>52000</v>
      </c>
      <c r="Q7" s="108"/>
      <c r="R7" s="158"/>
      <c r="S7" s="158"/>
      <c r="T7" s="72"/>
      <c r="U7" s="61"/>
    </row>
    <row r="8" spans="1:25" s="5" customFormat="1" ht="18" customHeight="1">
      <c r="A8" s="302"/>
      <c r="B8" s="321" t="s">
        <v>131</v>
      </c>
      <c r="C8" s="321"/>
      <c r="D8" s="321"/>
      <c r="E8" s="321"/>
      <c r="F8" s="321"/>
      <c r="G8" s="321"/>
      <c r="H8" s="321"/>
      <c r="I8" s="321"/>
      <c r="J8" s="222"/>
      <c r="K8" s="223"/>
      <c r="L8" s="224"/>
      <c r="M8" s="224"/>
      <c r="N8" s="210">
        <f>SUM(N7:N7)</f>
        <v>2</v>
      </c>
      <c r="O8" s="224">
        <f>SUM(O7:O7)</f>
        <v>46000</v>
      </c>
      <c r="P8" s="224">
        <f>SUM(P7:P7)</f>
        <v>52000</v>
      </c>
      <c r="Q8" s="110"/>
      <c r="R8" s="65"/>
      <c r="S8" s="65"/>
      <c r="T8" s="74"/>
      <c r="U8" s="63"/>
    </row>
    <row r="9" spans="1:25" s="5" customFormat="1" ht="18" customHeight="1">
      <c r="A9" s="2"/>
      <c r="B9" s="2"/>
      <c r="C9" s="8"/>
      <c r="D9" s="8"/>
      <c r="E9" s="8"/>
      <c r="F9" s="8"/>
      <c r="G9" s="8"/>
      <c r="H9" s="8"/>
      <c r="I9" s="8"/>
      <c r="J9" s="185"/>
      <c r="K9" s="2"/>
      <c r="L9" s="6"/>
      <c r="M9" s="6"/>
      <c r="N9" s="30">
        <f>SUM(N8,N6)</f>
        <v>4</v>
      </c>
      <c r="O9" s="6"/>
      <c r="P9" s="6"/>
      <c r="R9" s="6"/>
      <c r="S9" s="6"/>
      <c r="T9" s="31">
        <f>SUM(T5:T8)</f>
        <v>0</v>
      </c>
    </row>
    <row r="10" spans="1:25" s="5" customFormat="1" ht="18" customHeight="1">
      <c r="A10" s="2"/>
      <c r="B10" s="2"/>
      <c r="C10" s="8"/>
      <c r="D10" s="8"/>
      <c r="E10" s="8"/>
      <c r="F10" s="8"/>
      <c r="G10" s="8"/>
      <c r="H10" s="8"/>
      <c r="I10" s="24"/>
      <c r="J10" s="186"/>
      <c r="K10" s="30"/>
      <c r="L10" s="26"/>
      <c r="M10" s="26"/>
      <c r="N10" s="27"/>
      <c r="O10" s="26"/>
      <c r="P10" s="26"/>
      <c r="R10" s="6"/>
      <c r="S10" s="26"/>
      <c r="T10" s="6"/>
    </row>
    <row r="11" spans="1:25" s="5" customFormat="1" ht="18" customHeight="1">
      <c r="A11" s="2"/>
      <c r="B11" s="2"/>
      <c r="C11" s="8"/>
      <c r="D11" s="8"/>
      <c r="E11" s="8"/>
      <c r="F11" s="8"/>
      <c r="G11" s="8"/>
      <c r="H11" s="8"/>
      <c r="I11" s="24"/>
      <c r="J11" s="186"/>
      <c r="K11" s="30"/>
      <c r="L11" s="26"/>
      <c r="M11" s="26"/>
      <c r="N11" s="27"/>
      <c r="O11" s="26"/>
      <c r="P11" s="26"/>
      <c r="R11" s="6"/>
      <c r="S11" s="26"/>
      <c r="T11" s="6"/>
    </row>
    <row r="12" spans="1:25" s="5" customFormat="1" ht="18" customHeight="1">
      <c r="A12" s="2"/>
      <c r="B12" s="2"/>
      <c r="C12" s="8"/>
      <c r="D12" s="8"/>
      <c r="E12" s="8"/>
      <c r="F12" s="8"/>
      <c r="G12" s="8"/>
      <c r="H12" s="8"/>
      <c r="I12" s="24"/>
      <c r="J12" s="186"/>
      <c r="K12" s="30"/>
      <c r="L12" s="26"/>
      <c r="M12" s="26"/>
      <c r="N12" s="27"/>
      <c r="O12" s="26"/>
      <c r="P12" s="26"/>
      <c r="R12" s="6"/>
      <c r="S12" s="26"/>
      <c r="T12" s="6"/>
    </row>
    <row r="13" spans="1:25" s="5" customFormat="1" ht="18" customHeight="1">
      <c r="A13" s="2"/>
      <c r="B13" s="2"/>
      <c r="C13" s="8"/>
      <c r="D13" s="8"/>
      <c r="E13" s="8"/>
      <c r="F13" s="8"/>
      <c r="G13" s="8"/>
      <c r="H13" s="8"/>
      <c r="I13" s="24"/>
      <c r="J13" s="186"/>
      <c r="K13" s="30"/>
      <c r="L13" s="26"/>
      <c r="M13" s="26"/>
      <c r="N13" s="27"/>
      <c r="O13" s="26"/>
      <c r="P13" s="26"/>
      <c r="R13" s="6"/>
      <c r="S13" s="26"/>
      <c r="T13" s="6"/>
    </row>
    <row r="14" spans="1:25" s="5" customFormat="1" ht="18" customHeight="1">
      <c r="A14" s="2"/>
      <c r="B14" s="2"/>
      <c r="C14" s="8"/>
      <c r="D14" s="8"/>
      <c r="E14" s="8"/>
      <c r="F14" s="8"/>
      <c r="G14" s="8"/>
      <c r="H14" s="8"/>
      <c r="I14" s="24"/>
      <c r="J14" s="331" t="s">
        <v>210</v>
      </c>
      <c r="K14" s="332"/>
      <c r="L14" s="333"/>
      <c r="M14" s="26"/>
      <c r="N14" s="27"/>
      <c r="O14" s="26"/>
      <c r="P14" s="26"/>
      <c r="R14" s="6"/>
      <c r="S14" s="26"/>
      <c r="T14" s="6"/>
    </row>
    <row r="15" spans="1:25" s="5" customFormat="1" ht="18" customHeight="1">
      <c r="A15" s="2"/>
      <c r="B15" s="2"/>
      <c r="C15" s="8"/>
      <c r="D15" s="8"/>
      <c r="E15" s="8"/>
      <c r="F15" s="8"/>
      <c r="G15" s="8"/>
      <c r="H15" s="8"/>
      <c r="I15" s="24"/>
      <c r="J15" s="187" t="s">
        <v>358</v>
      </c>
      <c r="K15" s="47" t="s">
        <v>1015</v>
      </c>
      <c r="L15" s="46">
        <f>SUMPRODUCT(($K$5:$K$8=K15)*($N$5:$N$8))</f>
        <v>0</v>
      </c>
      <c r="M15" s="26"/>
      <c r="N15" s="27"/>
      <c r="O15" s="26"/>
      <c r="P15" s="26"/>
      <c r="Q15" s="27"/>
      <c r="R15" s="6"/>
      <c r="S15" s="26"/>
      <c r="T15" s="6"/>
    </row>
    <row r="16" spans="1:25" s="5" customFormat="1" ht="18" customHeight="1">
      <c r="A16" s="2"/>
      <c r="B16" s="2"/>
      <c r="C16" s="8"/>
      <c r="D16" s="8"/>
      <c r="E16" s="8"/>
      <c r="F16" s="8"/>
      <c r="G16" s="8"/>
      <c r="H16" s="8"/>
      <c r="I16" s="24"/>
      <c r="J16" s="187" t="s">
        <v>359</v>
      </c>
      <c r="K16" s="47" t="s">
        <v>1017</v>
      </c>
      <c r="L16" s="46">
        <f t="shared" ref="L16:L33" si="0">SUMPRODUCT(($K$5:$K$8=K16)*($N$5:$N$8))</f>
        <v>0</v>
      </c>
      <c r="M16" s="26"/>
      <c r="N16" s="27"/>
      <c r="O16" s="26"/>
      <c r="P16" s="26"/>
      <c r="Q16" s="27"/>
      <c r="R16" s="6"/>
      <c r="S16" s="26"/>
      <c r="T16" s="6"/>
    </row>
    <row r="17" spans="10:12" s="5" customFormat="1" ht="18" customHeight="1">
      <c r="J17" s="187" t="s">
        <v>360</v>
      </c>
      <c r="K17" s="47" t="s">
        <v>1019</v>
      </c>
      <c r="L17" s="46">
        <f t="shared" si="0"/>
        <v>0</v>
      </c>
    </row>
    <row r="18" spans="10:12" s="5" customFormat="1" ht="18" customHeight="1">
      <c r="J18" s="187" t="s">
        <v>361</v>
      </c>
      <c r="K18" s="47" t="s">
        <v>1020</v>
      </c>
      <c r="L18" s="46">
        <f t="shared" si="0"/>
        <v>0</v>
      </c>
    </row>
    <row r="19" spans="10:12" s="5" customFormat="1" ht="18" customHeight="1">
      <c r="J19" s="187" t="s">
        <v>362</v>
      </c>
      <c r="K19" s="47" t="s">
        <v>1023</v>
      </c>
      <c r="L19" s="46">
        <f t="shared" si="0"/>
        <v>0</v>
      </c>
    </row>
    <row r="20" spans="10:12" s="5" customFormat="1" ht="18" customHeight="1">
      <c r="J20" s="187" t="s">
        <v>363</v>
      </c>
      <c r="K20" s="47" t="s">
        <v>1025</v>
      </c>
      <c r="L20" s="46">
        <f t="shared" si="0"/>
        <v>0</v>
      </c>
    </row>
    <row r="21" spans="10:12" s="5" customFormat="1" ht="18" customHeight="1">
      <c r="J21" s="187" t="s">
        <v>364</v>
      </c>
      <c r="K21" s="47" t="s">
        <v>1027</v>
      </c>
      <c r="L21" s="46">
        <f t="shared" si="0"/>
        <v>0</v>
      </c>
    </row>
    <row r="22" spans="10:12" s="5" customFormat="1" ht="18" customHeight="1">
      <c r="J22" s="187" t="s">
        <v>365</v>
      </c>
      <c r="K22" s="47" t="s">
        <v>1029</v>
      </c>
      <c r="L22" s="46">
        <f t="shared" si="0"/>
        <v>0</v>
      </c>
    </row>
    <row r="23" spans="10:12" s="5" customFormat="1" ht="18" customHeight="1">
      <c r="J23" s="187" t="s">
        <v>366</v>
      </c>
      <c r="K23" s="47" t="s">
        <v>1031</v>
      </c>
      <c r="L23" s="46">
        <f t="shared" si="0"/>
        <v>0</v>
      </c>
    </row>
    <row r="24" spans="10:12" s="5" customFormat="1" ht="18" customHeight="1">
      <c r="J24" s="187" t="s">
        <v>367</v>
      </c>
      <c r="K24" s="47" t="s">
        <v>699</v>
      </c>
      <c r="L24" s="46">
        <f t="shared" si="0"/>
        <v>2</v>
      </c>
    </row>
    <row r="25" spans="10:12" s="5" customFormat="1" ht="18" customHeight="1">
      <c r="J25" s="234" t="s">
        <v>368</v>
      </c>
      <c r="K25" s="108" t="s">
        <v>700</v>
      </c>
      <c r="L25" s="92">
        <f t="shared" si="0"/>
        <v>0</v>
      </c>
    </row>
    <row r="26" spans="10:12" s="5" customFormat="1" ht="18" customHeight="1">
      <c r="J26" s="187" t="s">
        <v>373</v>
      </c>
      <c r="K26" s="47" t="s">
        <v>624</v>
      </c>
      <c r="L26" s="92">
        <f t="shared" si="0"/>
        <v>0</v>
      </c>
    </row>
    <row r="27" spans="10:12" s="5" customFormat="1" ht="18" customHeight="1">
      <c r="J27" s="187" t="s">
        <v>374</v>
      </c>
      <c r="K27" s="47" t="s">
        <v>915</v>
      </c>
      <c r="L27" s="92">
        <f t="shared" si="0"/>
        <v>2</v>
      </c>
    </row>
    <row r="28" spans="10:12" s="5" customFormat="1" ht="18" customHeight="1">
      <c r="J28" s="187" t="s">
        <v>945</v>
      </c>
      <c r="K28" s="47" t="s">
        <v>698</v>
      </c>
      <c r="L28" s="92">
        <f t="shared" si="0"/>
        <v>0</v>
      </c>
    </row>
    <row r="29" spans="10:12" s="5" customFormat="1" ht="18" customHeight="1">
      <c r="J29" s="187" t="s">
        <v>369</v>
      </c>
      <c r="K29" s="47" t="s">
        <v>854</v>
      </c>
      <c r="L29" s="92">
        <f t="shared" si="0"/>
        <v>0</v>
      </c>
    </row>
    <row r="30" spans="10:12" s="5" customFormat="1" ht="18" customHeight="1">
      <c r="J30" s="187" t="s">
        <v>370</v>
      </c>
      <c r="K30" s="47" t="s">
        <v>912</v>
      </c>
      <c r="L30" s="92">
        <f t="shared" si="0"/>
        <v>0</v>
      </c>
    </row>
    <row r="31" spans="10:12" s="5" customFormat="1" ht="18" customHeight="1">
      <c r="J31" s="187" t="s">
        <v>371</v>
      </c>
      <c r="K31" s="47" t="s">
        <v>916</v>
      </c>
      <c r="L31" s="92">
        <f t="shared" si="0"/>
        <v>0</v>
      </c>
    </row>
    <row r="32" spans="10:12" s="5" customFormat="1" ht="18" customHeight="1">
      <c r="J32" s="187" t="s">
        <v>372</v>
      </c>
      <c r="K32" s="47" t="s">
        <v>913</v>
      </c>
      <c r="L32" s="92">
        <f t="shared" si="0"/>
        <v>0</v>
      </c>
    </row>
    <row r="33" spans="10:12" s="5" customFormat="1" ht="18" customHeight="1">
      <c r="J33" s="187" t="s">
        <v>376</v>
      </c>
      <c r="K33" s="47" t="s">
        <v>914</v>
      </c>
      <c r="L33" s="92">
        <f t="shared" si="0"/>
        <v>0</v>
      </c>
    </row>
    <row r="34" spans="10:12" s="5" customFormat="1" ht="18" customHeight="1">
      <c r="J34" s="187" t="s">
        <v>377</v>
      </c>
      <c r="K34" s="47" t="s">
        <v>917</v>
      </c>
      <c r="L34" s="46">
        <f t="shared" ref="L34" si="1">SUMPRODUCT(($K$5:$K$8=K34)*($N$5:$N$8))</f>
        <v>0</v>
      </c>
    </row>
    <row r="35" spans="10:12" s="5" customFormat="1" ht="18" customHeight="1">
      <c r="J35" s="334" t="s">
        <v>195</v>
      </c>
      <c r="K35" s="334"/>
      <c r="L35" s="217">
        <f>SUM(L15:L34)</f>
        <v>4</v>
      </c>
    </row>
  </sheetData>
  <mergeCells count="14">
    <mergeCell ref="J14:L14"/>
    <mergeCell ref="J35:K35"/>
    <mergeCell ref="Q3:Q4"/>
    <mergeCell ref="U3:U4"/>
    <mergeCell ref="K3:K4"/>
    <mergeCell ref="J3:J4"/>
    <mergeCell ref="A5:A8"/>
    <mergeCell ref="B6:I6"/>
    <mergeCell ref="B8:I8"/>
    <mergeCell ref="A3:A4"/>
    <mergeCell ref="B3:B4"/>
    <mergeCell ref="D3:E3"/>
    <mergeCell ref="F3:G3"/>
    <mergeCell ref="H3:I3"/>
  </mergeCells>
  <phoneticPr fontId="3" type="noConversion"/>
  <dataValidations count="1">
    <dataValidation type="list" allowBlank="1" showInputMessage="1" showErrorMessage="1" sqref="K1:K1048576" xr:uid="{00000000-0002-0000-0900-000000000000}">
      <formula1>중대형</formula1>
    </dataValidation>
  </dataValidations>
  <printOptions horizontalCentered="1"/>
  <pageMargins left="0" right="0" top="0.39370078740157483" bottom="0.39370078740157483" header="0" footer="0"/>
  <pageSetup paperSize="9" scale="70" orientation="landscape" r:id="rId1"/>
  <headerFooter alignWithMargins="0">
    <oddHeader>&amp;C&amp;"Calibri"&amp;12&amp;K000000 LGE Internal Use Only&amp;1#_x000D_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9" tint="-0.249977111117893"/>
  </sheetPr>
  <dimension ref="A1:Y39"/>
  <sheetViews>
    <sheetView showGridLines="0" zoomScaleNormal="100" zoomScaleSheetLayoutView="90" workbookViewId="0">
      <selection activeCell="V26" sqref="V26"/>
    </sheetView>
  </sheetViews>
  <sheetFormatPr defaultRowHeight="18" customHeight="1"/>
  <cols>
    <col min="1" max="1" width="7" style="23" customWidth="1"/>
    <col min="2" max="2" width="11.88671875" style="23" bestFit="1" customWidth="1"/>
    <col min="3" max="7" width="6.77734375" style="22" customWidth="1"/>
    <col min="8" max="9" width="7.77734375" style="22" customWidth="1"/>
    <col min="10" max="10" width="5.21875" style="192" customWidth="1"/>
    <col min="11" max="11" width="11.77734375" style="23" customWidth="1"/>
    <col min="12" max="13" width="8.77734375" style="21" customWidth="1"/>
    <col min="14" max="14" width="4.44140625" style="20" customWidth="1"/>
    <col min="15" max="16" width="8.77734375" style="21" customWidth="1"/>
    <col min="17" max="17" width="11.88671875" style="20" hidden="1" customWidth="1"/>
    <col min="18" max="19" width="11.21875" style="21" hidden="1" customWidth="1"/>
    <col min="20" max="20" width="4.44140625" style="21" hidden="1" customWidth="1"/>
    <col min="21" max="21" width="6.6640625" style="20" hidden="1" customWidth="1"/>
    <col min="22" max="16384" width="8.88671875" style="20"/>
  </cols>
  <sheetData>
    <row r="1" spans="1:25" s="27" customFormat="1" ht="22.5" customHeight="1">
      <c r="A1" s="1" t="s">
        <v>114</v>
      </c>
      <c r="B1" s="30"/>
      <c r="C1" s="78"/>
      <c r="D1" s="78"/>
      <c r="E1" s="78"/>
      <c r="F1" s="78"/>
      <c r="G1" s="78"/>
      <c r="H1" s="78"/>
      <c r="I1" s="78"/>
      <c r="J1" s="189"/>
      <c r="K1" s="30"/>
      <c r="L1" s="79"/>
      <c r="M1" s="79"/>
      <c r="O1" s="79"/>
      <c r="P1" s="79"/>
      <c r="R1" s="26"/>
      <c r="S1" s="26"/>
      <c r="T1" s="26"/>
      <c r="V1" s="80"/>
      <c r="W1" s="80"/>
      <c r="X1" s="80"/>
      <c r="Y1" s="80"/>
    </row>
    <row r="2" spans="1:25" s="5" customFormat="1" ht="11.25" customHeight="1">
      <c r="A2" s="2"/>
      <c r="B2" s="2"/>
      <c r="C2" s="8"/>
      <c r="D2" s="8"/>
      <c r="E2" s="8"/>
      <c r="F2" s="8"/>
      <c r="G2" s="8"/>
      <c r="H2" s="8"/>
      <c r="I2" s="8"/>
      <c r="J2" s="190"/>
      <c r="K2" s="2"/>
      <c r="L2" s="6"/>
      <c r="M2" s="6"/>
      <c r="O2" s="6"/>
      <c r="P2" s="6"/>
      <c r="R2" s="6"/>
      <c r="S2" s="6"/>
      <c r="T2" s="6"/>
      <c r="U2" s="9" t="s">
        <v>3</v>
      </c>
      <c r="V2" s="7"/>
      <c r="W2" s="7"/>
      <c r="X2" s="7"/>
      <c r="Y2" s="7"/>
    </row>
    <row r="3" spans="1:25" s="5" customFormat="1" ht="18" customHeight="1">
      <c r="A3" s="320" t="s">
        <v>50</v>
      </c>
      <c r="B3" s="320" t="s">
        <v>51</v>
      </c>
      <c r="C3" s="218" t="s">
        <v>52</v>
      </c>
      <c r="D3" s="315" t="s">
        <v>53</v>
      </c>
      <c r="E3" s="315"/>
      <c r="F3" s="315" t="s">
        <v>54</v>
      </c>
      <c r="G3" s="315"/>
      <c r="H3" s="316" t="s">
        <v>98</v>
      </c>
      <c r="I3" s="316"/>
      <c r="J3" s="318" t="s">
        <v>307</v>
      </c>
      <c r="K3" s="306" t="s">
        <v>55</v>
      </c>
      <c r="L3" s="219" t="s">
        <v>56</v>
      </c>
      <c r="M3" s="219" t="s">
        <v>57</v>
      </c>
      <c r="N3" s="220" t="s">
        <v>58</v>
      </c>
      <c r="O3" s="219" t="s">
        <v>59</v>
      </c>
      <c r="P3" s="219" t="s">
        <v>60</v>
      </c>
      <c r="Q3" s="337" t="s">
        <v>61</v>
      </c>
      <c r="R3" s="32" t="s">
        <v>62</v>
      </c>
      <c r="S3" s="32" t="s">
        <v>63</v>
      </c>
      <c r="T3" s="32" t="s">
        <v>58</v>
      </c>
      <c r="U3" s="336" t="s">
        <v>65</v>
      </c>
    </row>
    <row r="4" spans="1:25" s="5" customFormat="1" ht="18" customHeight="1">
      <c r="A4" s="320"/>
      <c r="B4" s="320"/>
      <c r="C4" s="218" t="s">
        <v>66</v>
      </c>
      <c r="D4" s="218" t="s">
        <v>67</v>
      </c>
      <c r="E4" s="218" t="s">
        <v>68</v>
      </c>
      <c r="F4" s="218" t="s">
        <v>67</v>
      </c>
      <c r="G4" s="218" t="s">
        <v>68</v>
      </c>
      <c r="H4" s="221" t="s">
        <v>99</v>
      </c>
      <c r="I4" s="221" t="s">
        <v>100</v>
      </c>
      <c r="J4" s="319"/>
      <c r="K4" s="306"/>
      <c r="L4" s="219" t="s">
        <v>69</v>
      </c>
      <c r="M4" s="219" t="s">
        <v>69</v>
      </c>
      <c r="N4" s="220" t="s">
        <v>70</v>
      </c>
      <c r="O4" s="219" t="s">
        <v>69</v>
      </c>
      <c r="P4" s="219" t="s">
        <v>69</v>
      </c>
      <c r="Q4" s="338"/>
      <c r="R4" s="32" t="s">
        <v>69</v>
      </c>
      <c r="S4" s="32" t="s">
        <v>69</v>
      </c>
      <c r="T4" s="32" t="s">
        <v>70</v>
      </c>
      <c r="U4" s="336"/>
    </row>
    <row r="5" spans="1:25" s="5" customFormat="1" ht="18" customHeight="1">
      <c r="A5" s="300" t="s">
        <v>132</v>
      </c>
      <c r="B5" s="39" t="s">
        <v>157</v>
      </c>
      <c r="C5" s="14">
        <v>40</v>
      </c>
      <c r="D5" s="155">
        <v>210</v>
      </c>
      <c r="E5" s="11">
        <f>D5</f>
        <v>210</v>
      </c>
      <c r="F5" s="12">
        <f>D5/0.86</f>
        <v>244.18604651162792</v>
      </c>
      <c r="G5" s="12">
        <f>E5/0.86</f>
        <v>244.18604651162792</v>
      </c>
      <c r="H5" s="13">
        <f>C5*F5</f>
        <v>9767.4418604651164</v>
      </c>
      <c r="I5" s="13">
        <f>C5*G5</f>
        <v>9767.4418604651164</v>
      </c>
      <c r="J5" s="167" t="str">
        <f>INDEX($J$13:$J$38,MATCH(K5,$K$13:$K$38,0))</f>
        <v>P23</v>
      </c>
      <c r="K5" s="47" t="s">
        <v>1009</v>
      </c>
      <c r="L5" s="13">
        <f>IF(ISERROR(VLOOKUP(K5,LG제품!$Q$89:$S$145,2,0)),,VLOOKUP(K5,LG제품!$Q$89:$S$145,2,0))</f>
        <v>11000</v>
      </c>
      <c r="M5" s="13">
        <f>IF(ISERROR(VLOOKUP(K5,LG제품!$Q$89:$S$145,3,0)),,VLOOKUP(K5,LG제품!$Q$89:$S$145,3,0))</f>
        <v>13200</v>
      </c>
      <c r="N5" s="39">
        <v>1</v>
      </c>
      <c r="O5" s="156">
        <f>L5*N5</f>
        <v>11000</v>
      </c>
      <c r="P5" s="156">
        <f>M5*N5</f>
        <v>13200</v>
      </c>
      <c r="Q5" s="108" t="str">
        <f>K5</f>
        <v>TW1100A9HL</v>
      </c>
      <c r="R5" s="158">
        <f>IF(ISERROR(VLOOKUP(Q5,LG제품!#REF!,2,0)),,VLOOKUP(Q5,LG제품!$M$29:$O$1228,2,0))</f>
        <v>0</v>
      </c>
      <c r="S5" s="158">
        <f>IF(ISERROR(VLOOKUP(Q5,LG제품!#REF!,3,0)),,VLOOKUP(Q5,LG제품!$M$29:$O$1228,3,0))</f>
        <v>0</v>
      </c>
      <c r="T5" s="72">
        <f>N5</f>
        <v>1</v>
      </c>
      <c r="U5" s="61"/>
    </row>
    <row r="6" spans="1:25" s="5" customFormat="1" ht="18" customHeight="1">
      <c r="A6" s="301"/>
      <c r="B6" s="321" t="s">
        <v>131</v>
      </c>
      <c r="C6" s="321"/>
      <c r="D6" s="321"/>
      <c r="E6" s="321"/>
      <c r="F6" s="321"/>
      <c r="G6" s="321"/>
      <c r="H6" s="321"/>
      <c r="I6" s="321"/>
      <c r="J6" s="222"/>
      <c r="K6" s="223"/>
      <c r="L6" s="224"/>
      <c r="M6" s="224"/>
      <c r="N6" s="210">
        <f>SUM(N5:N5)</f>
        <v>1</v>
      </c>
      <c r="O6" s="224">
        <f>SUM(O5:O5)</f>
        <v>11000</v>
      </c>
      <c r="P6" s="224">
        <f>SUM(P5:P5)</f>
        <v>13200</v>
      </c>
      <c r="Q6" s="110"/>
      <c r="R6" s="65"/>
      <c r="S6" s="65"/>
      <c r="T6" s="74"/>
      <c r="U6" s="63"/>
    </row>
    <row r="7" spans="1:25" s="16" customFormat="1" ht="18" customHeight="1">
      <c r="A7" s="301"/>
      <c r="B7" s="39" t="s">
        <v>158</v>
      </c>
      <c r="C7" s="14">
        <v>20</v>
      </c>
      <c r="D7" s="15">
        <v>150</v>
      </c>
      <c r="E7" s="11"/>
      <c r="F7" s="12">
        <f>D7/0.86</f>
        <v>174.41860465116278</v>
      </c>
      <c r="G7" s="12">
        <f>E7/0.86</f>
        <v>0</v>
      </c>
      <c r="H7" s="13">
        <f>C7*F7</f>
        <v>3488.3720930232557</v>
      </c>
      <c r="I7" s="13">
        <f>C7*G7</f>
        <v>0</v>
      </c>
      <c r="J7" s="167" t="str">
        <f>INDEX($J$13:$J$38,MATCH(K7,$K$13:$K$38,0))</f>
        <v>P14</v>
      </c>
      <c r="K7" s="47" t="s">
        <v>704</v>
      </c>
      <c r="L7" s="13">
        <f>IF(ISERROR(VLOOKUP(K7,LG제품!$Q$89:$S$145,2,0)),,VLOOKUP(K7,LG제품!$Q$89:$S$145,2,0))</f>
        <v>4000</v>
      </c>
      <c r="M7" s="13">
        <f>IF(ISERROR(VLOOKUP(K7,LG제품!$Q$89:$S$145,3,0)),,VLOOKUP(K7,LG제품!$Q$89:$S$145,3,0))</f>
        <v>5000</v>
      </c>
      <c r="N7" s="39">
        <v>1</v>
      </c>
      <c r="O7" s="157">
        <f>L7*N7</f>
        <v>4000</v>
      </c>
      <c r="P7" s="157">
        <f>M7*N7</f>
        <v>5000</v>
      </c>
      <c r="Q7" s="108" t="str">
        <f>K7</f>
        <v>TW0400U2SC</v>
      </c>
      <c r="R7" s="158">
        <f>IF(ISERROR(VLOOKUP(Q7,LG제품!#REF!,2,0)),,VLOOKUP(Q7,LG제품!$M$29:$O$1228,2,0))</f>
        <v>0</v>
      </c>
      <c r="S7" s="158">
        <f>IF(ISERROR(VLOOKUP(Q7,LG제품!#REF!,3,0)),,VLOOKUP(Q7,LG제품!$M$29:$O$1228,3,0))</f>
        <v>0</v>
      </c>
      <c r="T7" s="72">
        <f>N7</f>
        <v>1</v>
      </c>
      <c r="U7" s="61"/>
    </row>
    <row r="8" spans="1:25" s="5" customFormat="1" ht="18" customHeight="1">
      <c r="A8" s="302"/>
      <c r="B8" s="321" t="s">
        <v>131</v>
      </c>
      <c r="C8" s="321"/>
      <c r="D8" s="321"/>
      <c r="E8" s="321"/>
      <c r="F8" s="321"/>
      <c r="G8" s="321"/>
      <c r="H8" s="321"/>
      <c r="I8" s="321"/>
      <c r="J8" s="222"/>
      <c r="K8" s="223"/>
      <c r="L8" s="224"/>
      <c r="M8" s="224"/>
      <c r="N8" s="210">
        <f>SUM(N7:N7)</f>
        <v>1</v>
      </c>
      <c r="O8" s="224">
        <f>SUM(O7:O7)</f>
        <v>4000</v>
      </c>
      <c r="P8" s="224">
        <f>SUM(P7:P7)</f>
        <v>5000</v>
      </c>
      <c r="Q8" s="110"/>
      <c r="R8" s="65"/>
      <c r="S8" s="65"/>
      <c r="T8" s="74"/>
      <c r="U8" s="63"/>
    </row>
    <row r="9" spans="1:25" s="5" customFormat="1" ht="18" customHeight="1">
      <c r="A9" s="2"/>
      <c r="B9" s="2"/>
      <c r="C9" s="8"/>
      <c r="D9" s="8"/>
      <c r="E9" s="8"/>
      <c r="F9" s="8"/>
      <c r="G9" s="8"/>
      <c r="H9" s="8"/>
      <c r="I9" s="8"/>
      <c r="J9" s="190"/>
      <c r="K9" s="2"/>
      <c r="L9" s="6"/>
      <c r="M9" s="6"/>
      <c r="N9" s="30">
        <f>SUM(N8,N6)</f>
        <v>2</v>
      </c>
      <c r="O9" s="6"/>
      <c r="P9" s="6"/>
      <c r="R9" s="6"/>
      <c r="S9" s="6"/>
      <c r="T9" s="31">
        <f>SUM(T5:T8)</f>
        <v>2</v>
      </c>
    </row>
    <row r="10" spans="1:25" s="5" customFormat="1" ht="18" customHeight="1">
      <c r="A10" s="2"/>
      <c r="B10" s="2"/>
      <c r="C10" s="8"/>
      <c r="D10" s="8"/>
      <c r="E10" s="8"/>
      <c r="F10" s="8"/>
      <c r="G10" s="8"/>
      <c r="H10" s="8"/>
      <c r="I10" s="24"/>
      <c r="J10" s="191"/>
      <c r="K10" s="30"/>
      <c r="L10" s="26"/>
      <c r="M10" s="26"/>
      <c r="N10" s="27"/>
      <c r="O10" s="26"/>
      <c r="P10" s="26"/>
      <c r="R10" s="6"/>
      <c r="S10" s="26"/>
      <c r="T10" s="6"/>
    </row>
    <row r="11" spans="1:25" s="5" customFormat="1" ht="18" customHeight="1">
      <c r="A11" s="2"/>
      <c r="B11" s="2"/>
      <c r="C11" s="8"/>
      <c r="D11" s="8"/>
      <c r="E11" s="8"/>
      <c r="F11" s="8"/>
      <c r="G11" s="8"/>
      <c r="H11" s="8"/>
      <c r="I11" s="24"/>
      <c r="J11" s="191"/>
      <c r="K11" s="30"/>
      <c r="L11" s="26"/>
      <c r="M11" s="26"/>
      <c r="N11" s="27"/>
      <c r="O11" s="26"/>
      <c r="P11" s="26"/>
      <c r="R11" s="6"/>
      <c r="S11" s="26"/>
      <c r="T11" s="6"/>
    </row>
    <row r="12" spans="1:25" s="5" customFormat="1" ht="18" customHeight="1">
      <c r="A12" s="2"/>
      <c r="B12" s="2"/>
      <c r="C12" s="8"/>
      <c r="D12" s="8"/>
      <c r="E12" s="8"/>
      <c r="F12" s="8"/>
      <c r="G12" s="8"/>
      <c r="H12" s="8"/>
      <c r="I12" s="24"/>
      <c r="J12" s="310" t="s">
        <v>211</v>
      </c>
      <c r="K12" s="311"/>
      <c r="L12" s="312"/>
      <c r="M12" s="26"/>
      <c r="N12" s="27"/>
      <c r="O12" s="26"/>
      <c r="P12" s="26"/>
      <c r="R12" s="6"/>
      <c r="S12" s="26"/>
      <c r="T12" s="6"/>
    </row>
    <row r="13" spans="1:25" s="5" customFormat="1" ht="18" customHeight="1">
      <c r="A13" s="2"/>
      <c r="B13" s="2"/>
      <c r="C13" s="8"/>
      <c r="D13" s="24"/>
      <c r="E13" s="24"/>
      <c r="F13" s="24"/>
      <c r="G13" s="24"/>
      <c r="H13" s="24"/>
      <c r="I13" s="24"/>
      <c r="J13" s="187" t="s">
        <v>358</v>
      </c>
      <c r="K13" s="47" t="s">
        <v>750</v>
      </c>
      <c r="L13" s="46">
        <f>SUMPRODUCT(($K$5:$K$8=K13)*($N$5:$N$8))</f>
        <v>0</v>
      </c>
      <c r="M13" s="26"/>
      <c r="N13" s="27"/>
      <c r="O13" s="26"/>
      <c r="P13" s="26"/>
      <c r="Q13" s="27"/>
      <c r="R13" s="6"/>
      <c r="S13" s="26"/>
      <c r="T13" s="6"/>
    </row>
    <row r="14" spans="1:25" s="5" customFormat="1" ht="18" customHeight="1">
      <c r="A14" s="2"/>
      <c r="B14" s="2"/>
      <c r="C14" s="8"/>
      <c r="D14" s="24"/>
      <c r="E14" s="24"/>
      <c r="F14" s="24"/>
      <c r="G14" s="24"/>
      <c r="H14" s="24"/>
      <c r="I14" s="24"/>
      <c r="J14" s="187" t="s">
        <v>359</v>
      </c>
      <c r="K14" s="47" t="s">
        <v>751</v>
      </c>
      <c r="L14" s="46">
        <f>SUMPRODUCT(($K$5:$K$8=K14)*($N$5:$N$8))</f>
        <v>0</v>
      </c>
      <c r="M14" s="26"/>
      <c r="N14" s="27"/>
      <c r="O14" s="26"/>
      <c r="P14" s="26"/>
      <c r="Q14" s="27"/>
      <c r="R14" s="6"/>
      <c r="S14" s="26"/>
      <c r="T14" s="6"/>
    </row>
    <row r="15" spans="1:25" s="5" customFormat="1" ht="18" customHeight="1">
      <c r="A15" s="2"/>
      <c r="B15" s="2"/>
      <c r="C15" s="8"/>
      <c r="D15" s="24"/>
      <c r="E15" s="24"/>
      <c r="F15" s="24"/>
      <c r="G15" s="24"/>
      <c r="H15" s="24"/>
      <c r="I15" s="24"/>
      <c r="J15" s="187" t="s">
        <v>360</v>
      </c>
      <c r="K15" s="47" t="s">
        <v>626</v>
      </c>
      <c r="L15" s="46">
        <f t="shared" ref="L15:L38" si="0">SUMPRODUCT(($K$5:$K$8=K15)*($N$5:$N$8))</f>
        <v>0</v>
      </c>
      <c r="M15" s="26"/>
      <c r="N15" s="27"/>
      <c r="O15" s="26"/>
      <c r="P15" s="26"/>
      <c r="Q15" s="27"/>
      <c r="R15" s="6"/>
      <c r="S15" s="26"/>
      <c r="T15" s="6"/>
    </row>
    <row r="16" spans="1:25" s="5" customFormat="1" ht="18" customHeight="1">
      <c r="A16" s="2"/>
      <c r="B16" s="2"/>
      <c r="C16" s="8"/>
      <c r="D16" s="24"/>
      <c r="E16" s="24"/>
      <c r="F16" s="24"/>
      <c r="G16" s="24"/>
      <c r="H16" s="24"/>
      <c r="I16" s="24"/>
      <c r="J16" s="187" t="s">
        <v>361</v>
      </c>
      <c r="K16" s="47" t="s">
        <v>627</v>
      </c>
      <c r="L16" s="46">
        <f t="shared" si="0"/>
        <v>0</v>
      </c>
      <c r="M16" s="26"/>
      <c r="N16" s="27"/>
      <c r="O16" s="26"/>
      <c r="P16" s="26"/>
      <c r="Q16" s="27"/>
      <c r="R16" s="6"/>
      <c r="S16" s="26"/>
      <c r="T16" s="6"/>
    </row>
    <row r="17" spans="10:12" s="5" customFormat="1" ht="18" customHeight="1">
      <c r="J17" s="187" t="s">
        <v>362</v>
      </c>
      <c r="K17" s="47" t="s">
        <v>628</v>
      </c>
      <c r="L17" s="46">
        <f t="shared" si="0"/>
        <v>0</v>
      </c>
    </row>
    <row r="18" spans="10:12" s="5" customFormat="1" ht="18" customHeight="1">
      <c r="J18" s="187" t="s">
        <v>363</v>
      </c>
      <c r="K18" s="47" t="s">
        <v>629</v>
      </c>
      <c r="L18" s="46">
        <f t="shared" si="0"/>
        <v>0</v>
      </c>
    </row>
    <row r="19" spans="10:12" s="5" customFormat="1" ht="18" customHeight="1">
      <c r="J19" s="187" t="s">
        <v>364</v>
      </c>
      <c r="K19" s="47" t="s">
        <v>946</v>
      </c>
      <c r="L19" s="46">
        <f t="shared" si="0"/>
        <v>0</v>
      </c>
    </row>
    <row r="20" spans="10:12" s="5" customFormat="1" ht="18" customHeight="1">
      <c r="J20" s="187" t="s">
        <v>365</v>
      </c>
      <c r="K20" s="47" t="s">
        <v>947</v>
      </c>
      <c r="L20" s="46">
        <f t="shared" si="0"/>
        <v>0</v>
      </c>
    </row>
    <row r="21" spans="10:12" s="5" customFormat="1" ht="18" customHeight="1">
      <c r="J21" s="187" t="s">
        <v>366</v>
      </c>
      <c r="K21" s="47" t="s">
        <v>948</v>
      </c>
      <c r="L21" s="46">
        <f t="shared" si="0"/>
        <v>0</v>
      </c>
    </row>
    <row r="22" spans="10:12" s="5" customFormat="1" ht="18" customHeight="1">
      <c r="J22" s="187" t="s">
        <v>367</v>
      </c>
      <c r="K22" s="47" t="s">
        <v>949</v>
      </c>
      <c r="L22" s="46">
        <f t="shared" si="0"/>
        <v>0</v>
      </c>
    </row>
    <row r="23" spans="10:12" s="5" customFormat="1" ht="18" customHeight="1">
      <c r="J23" s="234" t="s">
        <v>368</v>
      </c>
      <c r="K23" s="108" t="s">
        <v>950</v>
      </c>
      <c r="L23" s="92">
        <f t="shared" si="0"/>
        <v>0</v>
      </c>
    </row>
    <row r="24" spans="10:12" s="5" customFormat="1" ht="18" customHeight="1">
      <c r="J24" s="187" t="s">
        <v>373</v>
      </c>
      <c r="K24" s="47" t="s">
        <v>989</v>
      </c>
      <c r="L24" s="46">
        <f t="shared" si="0"/>
        <v>0</v>
      </c>
    </row>
    <row r="25" spans="10:12" s="5" customFormat="1" ht="18" customHeight="1">
      <c r="J25" s="187" t="s">
        <v>752</v>
      </c>
      <c r="K25" s="47" t="s">
        <v>705</v>
      </c>
      <c r="L25" s="46">
        <f t="shared" si="0"/>
        <v>0</v>
      </c>
    </row>
    <row r="26" spans="10:12" s="5" customFormat="1" ht="18" customHeight="1">
      <c r="J26" s="187" t="s">
        <v>753</v>
      </c>
      <c r="K26" s="47" t="s">
        <v>704</v>
      </c>
      <c r="L26" s="46">
        <f t="shared" si="0"/>
        <v>1</v>
      </c>
    </row>
    <row r="27" spans="10:12" s="5" customFormat="1" ht="18" customHeight="1">
      <c r="J27" s="187" t="s">
        <v>369</v>
      </c>
      <c r="K27" s="47" t="s">
        <v>625</v>
      </c>
      <c r="L27" s="46">
        <f t="shared" si="0"/>
        <v>0</v>
      </c>
    </row>
    <row r="28" spans="10:12" s="5" customFormat="1" ht="18" customHeight="1">
      <c r="J28" s="187" t="s">
        <v>370</v>
      </c>
      <c r="K28" s="47" t="s">
        <v>855</v>
      </c>
      <c r="L28" s="46">
        <f t="shared" si="0"/>
        <v>0</v>
      </c>
    </row>
    <row r="29" spans="10:12" s="5" customFormat="1" ht="18" customHeight="1">
      <c r="J29" s="187" t="s">
        <v>371</v>
      </c>
      <c r="K29" s="47" t="s">
        <v>996</v>
      </c>
      <c r="L29" s="46">
        <f t="shared" si="0"/>
        <v>0</v>
      </c>
    </row>
    <row r="30" spans="10:12" s="5" customFormat="1" ht="18" customHeight="1">
      <c r="J30" s="187" t="s">
        <v>372</v>
      </c>
      <c r="K30" s="47" t="s">
        <v>998</v>
      </c>
      <c r="L30" s="46">
        <f t="shared" si="0"/>
        <v>0</v>
      </c>
    </row>
    <row r="31" spans="10:12" s="5" customFormat="1" ht="18" customHeight="1">
      <c r="J31" s="187" t="s">
        <v>376</v>
      </c>
      <c r="K31" s="47" t="s">
        <v>1000</v>
      </c>
      <c r="L31" s="46">
        <f t="shared" si="0"/>
        <v>0</v>
      </c>
    </row>
    <row r="32" spans="10:12" s="5" customFormat="1" ht="18" customHeight="1">
      <c r="J32" s="187" t="s">
        <v>377</v>
      </c>
      <c r="K32" s="47" t="s">
        <v>1002</v>
      </c>
      <c r="L32" s="46">
        <f t="shared" si="0"/>
        <v>0</v>
      </c>
    </row>
    <row r="33" spans="10:12" s="5" customFormat="1" ht="18" customHeight="1">
      <c r="J33" s="187" t="s">
        <v>378</v>
      </c>
      <c r="K33" s="47" t="s">
        <v>1007</v>
      </c>
      <c r="L33" s="46">
        <f t="shared" si="0"/>
        <v>0</v>
      </c>
    </row>
    <row r="34" spans="10:12" s="5" customFormat="1" ht="18" customHeight="1">
      <c r="J34" s="187" t="s">
        <v>379</v>
      </c>
      <c r="K34" s="47" t="s">
        <v>1004</v>
      </c>
      <c r="L34" s="46">
        <f t="shared" si="0"/>
        <v>0</v>
      </c>
    </row>
    <row r="35" spans="10:12" s="5" customFormat="1" ht="18" customHeight="1">
      <c r="J35" s="187" t="s">
        <v>380</v>
      </c>
      <c r="K35" s="47" t="s">
        <v>1009</v>
      </c>
      <c r="L35" s="46">
        <f t="shared" si="0"/>
        <v>1</v>
      </c>
    </row>
    <row r="36" spans="10:12" s="5" customFormat="1" ht="18" customHeight="1">
      <c r="J36" s="187" t="s">
        <v>381</v>
      </c>
      <c r="K36" s="47" t="s">
        <v>1005</v>
      </c>
      <c r="L36" s="46">
        <f t="shared" si="0"/>
        <v>0</v>
      </c>
    </row>
    <row r="37" spans="10:12" s="5" customFormat="1" ht="18" customHeight="1">
      <c r="J37" s="187" t="s">
        <v>382</v>
      </c>
      <c r="K37" s="47" t="s">
        <v>1011</v>
      </c>
      <c r="L37" s="46">
        <f t="shared" si="0"/>
        <v>0</v>
      </c>
    </row>
    <row r="38" spans="10:12" s="5" customFormat="1" ht="18" customHeight="1">
      <c r="J38" s="187" t="s">
        <v>383</v>
      </c>
      <c r="K38" s="47" t="s">
        <v>1013</v>
      </c>
      <c r="L38" s="46">
        <f t="shared" si="0"/>
        <v>0</v>
      </c>
    </row>
    <row r="39" spans="10:12" s="5" customFormat="1" ht="18" customHeight="1">
      <c r="J39" s="322" t="s">
        <v>195</v>
      </c>
      <c r="K39" s="323"/>
      <c r="L39" s="217">
        <f>SUM(L13:L38)</f>
        <v>2</v>
      </c>
    </row>
  </sheetData>
  <mergeCells count="14">
    <mergeCell ref="J12:L12"/>
    <mergeCell ref="J39:K39"/>
    <mergeCell ref="Q3:Q4"/>
    <mergeCell ref="U3:U4"/>
    <mergeCell ref="A5:A8"/>
    <mergeCell ref="B6:I6"/>
    <mergeCell ref="B8:I8"/>
    <mergeCell ref="A3:A4"/>
    <mergeCell ref="B3:B4"/>
    <mergeCell ref="D3:E3"/>
    <mergeCell ref="F3:G3"/>
    <mergeCell ref="H3:I3"/>
    <mergeCell ref="K3:K4"/>
    <mergeCell ref="J3:J4"/>
  </mergeCells>
  <phoneticPr fontId="3" type="noConversion"/>
  <dataValidations disablePrompts="1" count="1">
    <dataValidation type="list" allowBlank="1" showInputMessage="1" showErrorMessage="1" sqref="K1:K1048576" xr:uid="{00000000-0002-0000-0A00-000000000000}">
      <formula1>싱글</formula1>
    </dataValidation>
  </dataValidations>
  <printOptions horizontalCentered="1"/>
  <pageMargins left="0" right="0" top="0.39370078740157483" bottom="0.39370078740157483" header="0" footer="0"/>
  <pageSetup paperSize="9" scale="70" orientation="landscape" r:id="rId1"/>
  <headerFooter alignWithMargins="0">
    <oddHeader>&amp;C&amp;"Calibri"&amp;12&amp;K000000 LGE Internal Use Only&amp;1#_x000D_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28</vt:i4>
      </vt:variant>
    </vt:vector>
  </HeadingPairs>
  <TitlesOfParts>
    <vt:vector size="39" baseType="lpstr">
      <vt:lpstr>LG제품</vt:lpstr>
      <vt:lpstr>eco-V</vt:lpstr>
      <vt:lpstr>Multi V Super,GHP</vt:lpstr>
      <vt:lpstr>DOAS</vt:lpstr>
      <vt:lpstr>하이브리드</vt:lpstr>
      <vt:lpstr>Mini, Multi V S</vt:lpstr>
      <vt:lpstr>수냉식</vt:lpstr>
      <vt:lpstr>지열(인증)</vt:lpstr>
      <vt:lpstr>All in 1</vt:lpstr>
      <vt:lpstr>중대형</vt:lpstr>
      <vt:lpstr>싱글</vt:lpstr>
      <vt:lpstr>All실내기</vt:lpstr>
      <vt:lpstr>'All in 1'!Extract</vt:lpstr>
      <vt:lpstr>'Multi V Super,GHP'!Extract</vt:lpstr>
      <vt:lpstr>수냉식!Extract</vt:lpstr>
      <vt:lpstr>'지열(인증)'!Extract</vt:lpstr>
      <vt:lpstr>하이브리드!Extract</vt:lpstr>
      <vt:lpstr>'Mini, Multi V S'!H실외기</vt:lpstr>
      <vt:lpstr>Mini실외기</vt:lpstr>
      <vt:lpstr>'Mini, Multi V S'!M실내기</vt:lpstr>
      <vt:lpstr>M실내기</vt:lpstr>
      <vt:lpstr>'All in 1'!Print_Titles</vt:lpstr>
      <vt:lpstr>'Multi V Super,GHP'!Print_Titles</vt:lpstr>
      <vt:lpstr>수냉식!Print_Titles</vt:lpstr>
      <vt:lpstr>싱글!Print_Titles</vt:lpstr>
      <vt:lpstr>중대형!Print_Titles</vt:lpstr>
      <vt:lpstr>'지열(인증)'!Print_Titles</vt:lpstr>
      <vt:lpstr>하이브리드!Print_Titles</vt:lpstr>
      <vt:lpstr>Sp3실외기</vt:lpstr>
      <vt:lpstr>W실외기</vt:lpstr>
      <vt:lpstr>도아스</vt:lpstr>
      <vt:lpstr>도아스실외기동시형</vt:lpstr>
      <vt:lpstr>동시형실외기</vt:lpstr>
      <vt:lpstr>싱글</vt:lpstr>
      <vt:lpstr>중대형</vt:lpstr>
      <vt:lpstr>지열실외기</vt:lpstr>
      <vt:lpstr>지열인증실내기</vt:lpstr>
      <vt:lpstr>지열인증실외기</vt:lpstr>
      <vt:lpstr>환기</vt:lpstr>
    </vt:vector>
  </TitlesOfParts>
  <Company>now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나우</dc:creator>
  <cp:lastModifiedBy>대현 성</cp:lastModifiedBy>
  <cp:lastPrinted>2013-03-08T04:10:41Z</cp:lastPrinted>
  <dcterms:created xsi:type="dcterms:W3CDTF">2007-07-24T08:02:45Z</dcterms:created>
  <dcterms:modified xsi:type="dcterms:W3CDTF">2026-05-21T01:10:43Z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2025-10-28T01:34:59Z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ce91d7e8-3b04-4e28-9cf8-f7b74455f953</vt:lpwstr>
  </property>
  <property fmtid="{D5CDD505-2E9C-101B-9397-08002B2CF9AE}" pid="8" name="MSIP_Label_cc6ed9fc-fefc-4a0c-a6d6-10cf236c0d4f_ContentBits">
    <vt:lpwstr>1</vt:lpwstr>
  </property>
</Properties>
</file>